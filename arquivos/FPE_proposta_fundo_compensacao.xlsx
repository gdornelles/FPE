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arâmetros" sheetId="2" state="visible" r:id="rId4"/>
    <sheet name="Dados" sheetId="3" state="visible" r:id="rId5"/>
    <sheet name="1 Regra atual" sheetId="4" state="visible" r:id="rId6"/>
    <sheet name="2 Fórmula nova" sheetId="5" state="visible" r:id="rId7"/>
    <sheet name="3 Fundo" sheetId="6" state="visible" r:id="rId8"/>
    <sheet name="4 Comparação" sheetId="7" state="visible" r:id="rId9"/>
  </sheets>
  <definedNames>
    <definedName function="false" hidden="false" name="COEF_MIN" vbProcedure="false">Parâmetros!$C$10</definedName>
    <definedName function="false" hidden="false" name="GANHO_MAX" vbProcedure="false">Parâmetros!$C$18</definedName>
    <definedName function="false" hidden="false" name="PERDA_MAX" vbProcedure="false">Parâmetros!$C$15</definedName>
    <definedName function="false" hidden="false" name="PERDA_PEQ" vbProcedure="false">Parâmetros!$C$17</definedName>
    <definedName function="false" hidden="false" name="PESO_BASE" vbProcedure="false">Parâmetros!$C$12</definedName>
    <definedName function="false" hidden="false" name="PESO_EXC" vbProcedure="false">Parâmetros!$C$13</definedName>
    <definedName function="false" hidden="false" name="PISO_POP" vbProcedure="false">Parâmetros!$C$8</definedName>
    <definedName function="false" hidden="false" name="POP_PEQ" vbProcedure="false">Parâmetros!$C$16</definedName>
    <definedName function="false" hidden="false" name="Q_CAM" vbProcedure="false">Parâmetros!$C$21</definedName>
    <definedName function="false" hidden="false" name="Q_SEN" vbProcedure="false">Parâmetros!$C$20</definedName>
    <definedName function="false" hidden="false" name="RDPC_NAC" vbProcedure="false">Parâmetros!$C$6</definedName>
    <definedName function="false" hidden="false" name="TETO_POP" vbProcedure="false">Parâmetros!$C$9</definedName>
    <definedName function="false" hidden="false" name="VR" vbProcedure="false">Parâmetros!$C$7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<sst xmlns="http://schemas.openxmlformats.org/spreadsheetml/2006/main" count="318" uniqueCount="238">
  <si>
    <t xml:space="preserve">FPE · Proposta de nova fórmula com fundo de compensação</t>
  </si>
  <si>
    <t xml:space="preserve">Simulação para 2027. Percentuais = fatia de cada UF no Fundo de Participação dos Estados. Todas as células são fórmulas ligadas às abas seguintes; para testar outros valores, altere a aba Parâmetros.</t>
  </si>
  <si>
    <t xml:space="preserve">AS REGRAS DA PROPOSTA</t>
  </si>
  <si>
    <t xml:space="preserve">1. Fórmula</t>
  </si>
  <si>
    <t xml:space="preserve">2. Perda máxima</t>
  </si>
  <si>
    <t xml:space="preserve">3. UFs pequenas</t>
  </si>
  <si>
    <t xml:space="preserve">4. Ganho máximo</t>
  </si>
  <si>
    <t xml:space="preserve">5. O RS</t>
  </si>
  <si>
    <t xml:space="preserve">RIO GRANDE DO SUL</t>
  </si>
  <si>
    <t xml:space="preserve">Participação no FPE</t>
  </si>
  <si>
    <t xml:space="preserve">Proposta × esta situação</t>
  </si>
  <si>
    <t xml:space="preserve">Regra atual (2027, ano cheio)</t>
  </si>
  <si>
    <t xml:space="preserve">Se nada for aprovado (2º semestre/2027)</t>
  </si>
  <si>
    <t xml:space="preserve">Fórmula nova, antes do fundo</t>
  </si>
  <si>
    <t xml:space="preserve">PROPOSTA (fórmula nova + fundo)</t>
  </si>
  <si>
    <t xml:space="preserve">TODAS AS UFs</t>
  </si>
  <si>
    <t xml:space="preserve">UFs que ganham</t>
  </si>
  <si>
    <t xml:space="preserve">UFs que mantêm</t>
  </si>
  <si>
    <t xml:space="preserve">UFs que perdem (no máximo 5%)</t>
  </si>
  <si>
    <t xml:space="preserve">Ganho máximo antes da devolução (todas as UFs)</t>
  </si>
  <si>
    <t xml:space="preserve">Tamanho do fundo (arrecadado, % do FPE)</t>
  </si>
  <si>
    <t xml:space="preserve">Fatia do Norte, Nordeste e Centro-Oeste: regra atual → proposta</t>
  </si>
  <si>
    <t xml:space="preserve">VIABILIDADE NO CONGRESSO (parlamentares da situação em UFs que não perdem)</t>
  </si>
  <si>
    <t xml:space="preserve">Votos da situação</t>
  </si>
  <si>
    <t xml:space="preserve">Necessário</t>
  </si>
  <si>
    <t xml:space="preserve">Atinge?</t>
  </si>
  <si>
    <t xml:space="preserve">Senado</t>
  </si>
  <si>
    <t xml:space="preserve">Câmara</t>
  </si>
  <si>
    <t xml:space="preserve">COMO LER A PLANILHA</t>
  </si>
  <si>
    <t xml:space="preserve">Parâmetros</t>
  </si>
  <si>
    <t xml:space="preserve">Todos os números que você pode mudar, com a fonte de cada um.</t>
  </si>
  <si>
    <t xml:space="preserve">Dados</t>
  </si>
  <si>
    <t xml:space="preserve">População, renda, coeficientes de 1989 e bancadas por UF.</t>
  </si>
  <si>
    <t xml:space="preserve">1 Regra atual</t>
  </si>
  <si>
    <t xml:space="preserve">Passos 1 a 10: quanto cada UF recebe em 2027 hoje. É a referência.</t>
  </si>
  <si>
    <t xml:space="preserve">2 Fórmula nova</t>
  </si>
  <si>
    <t xml:space="preserve">Passos 1 a 9 com a mudança no Passo 7 (redutor só no fator renda).</t>
  </si>
  <si>
    <t xml:space="preserve">3 Fundo</t>
  </si>
  <si>
    <t xml:space="preserve">Passos 11 a 19: piso de perda, teto de ganho de 10% e devolução da sobra.</t>
  </si>
  <si>
    <t xml:space="preserve">4 Comparação</t>
  </si>
  <si>
    <t xml:space="preserve">Regra atual × proposta por UF e por região, gráfico e contagem de votos.</t>
  </si>
  <si>
    <t xml:space="preserve">CUIDADOS</t>
  </si>
  <si>
    <t xml:space="preserve">[Provável] Os pesos de 64,43% (base fixa) e 35,57% (fórmula) em 2027 são estimativas deduzidas da tabela da SEFAZ/PE e dos boletins do Tesouro, não um número oficial.</t>
  </si>
  <si>
    <t xml:space="preserve">[Provável] A contagem de votos supõe que cada parlamentar vota pelo interesse do seu estado. MDB, PSD e PSDB estão no limite do corte de situação: se forem tratados como neutros, a contagem cai para 40 senadores e 214 deputados.</t>
  </si>
  <si>
    <t xml:space="preserve">[Certo] Como a sobra do fundo volta a todos, os limites são superados um pouco, sempre a favor das UFs: quem perde perde menos de 5%, as pequenas ganham um pouco e o teto de 10% sobe na mesma proporção. Ver Balanço do fundo na aba 3 Fundo.</t>
  </si>
  <si>
    <t xml:space="preserve">Parâmetros da simulação</t>
  </si>
  <si>
    <t xml:space="preserve">Células em amarelo com texto azul podem ser alteradas: a planilha inteira recalcula. As demais são fórmulas.</t>
  </si>
  <si>
    <t xml:space="preserve">Parâmetro</t>
  </si>
  <si>
    <t xml:space="preserve">Valor</t>
  </si>
  <si>
    <t xml:space="preserve">Fonte / explicação</t>
  </si>
  <si>
    <t xml:space="preserve">A. Fórmula de cálculo (LC 62/1989, art. 2º, com a redação da LC 143/2013)</t>
  </si>
  <si>
    <t xml:space="preserve">Renda domiciliar per capita nacional (R$/mês)</t>
  </si>
  <si>
    <t xml:space="preserve">IBGE, PNAD Contínua 2025, conforme a planilha memoria_calculo_fpe-v3 (fornecida pelo usuário).</t>
  </si>
  <si>
    <t xml:space="preserve">Valor de referência do redutor (% da renda nacional)</t>
  </si>
  <si>
    <t xml:space="preserve">LC 62/89, art. 2º, § 1º, III: 72% da renda domiciliar per capita nacional.</t>
  </si>
  <si>
    <t xml:space="preserve">Piso da fatia populacional</t>
  </si>
  <si>
    <t xml:space="preserve">LC 62/89, art. 2º, III, a: limite inferior de 0,012.</t>
  </si>
  <si>
    <t xml:space="preserve">Teto da fatia populacional</t>
  </si>
  <si>
    <t xml:space="preserve">LC 62/89, art. 2º, III, a: limite superior de 0,07.</t>
  </si>
  <si>
    <t xml:space="preserve">Coeficiente mínimo de cada UF</t>
  </si>
  <si>
    <t xml:space="preserve">LC 62/89, art. 2º, § 1º, III: nenhuma entidade abaixo de 0,005.</t>
  </si>
  <si>
    <t xml:space="preserve">B. Como o FPE de 2027 é repartido pela regra atual</t>
  </si>
  <si>
    <t xml:space="preserve">Parcela do FPE repartida pelos coeficientes fixos de 1989 (base)</t>
  </si>
  <si>
    <t xml:space="preserve">Peso anual implícito deduzido da tabela da SEFAZ/PE e conferido com os boletins decendiais do Tesouro (out/2025–out/2026). É uma estimativa.</t>
  </si>
  <si>
    <t xml:space="preserve">Parcela do FPE repartida pela fórmula (excedente)</t>
  </si>
  <si>
    <t xml:space="preserve">Complemento da linha acima.</t>
  </si>
  <si>
    <t xml:space="preserve">C. Regras da proposta (fundo de compensação)</t>
  </si>
  <si>
    <t xml:space="preserve">Perda máxima de qualquer UF frente à regra atual</t>
  </si>
  <si>
    <t xml:space="preserve">Regra 1: ninguém perde mais de 5% do que receberia pela regra atual em 2027.</t>
  </si>
  <si>
    <t xml:space="preserve">UF pequena: população abaixo de</t>
  </si>
  <si>
    <t xml:space="preserve">Regra 2: atinge AC, AP, RO, RR, TO e SE (IBGE 2025).</t>
  </si>
  <si>
    <t xml:space="preserve">Perda máxima de UF pequena</t>
  </si>
  <si>
    <t xml:space="preserve">Regra 2: UF pequena não perde nada.</t>
  </si>
  <si>
    <t xml:space="preserve">Ganho máximo das UFs frente à regra atual</t>
  </si>
  <si>
    <t xml:space="preserve">Regra 4: o que a fórmula der acima de +10% vai para o fundo.</t>
  </si>
  <si>
    <t xml:space="preserve">D. Quóruns de lei complementar (CF, art. 69: maioria absoluta)</t>
  </si>
  <si>
    <t xml:space="preserve">Votos necessários no Senado</t>
  </si>
  <si>
    <t xml:space="preserve">Maioria absoluta de 81 senadores.</t>
  </si>
  <si>
    <t xml:space="preserve">Votos necessários na Câmara</t>
  </si>
  <si>
    <t xml:space="preserve">Maioria absoluta de 513 deputados.</t>
  </si>
  <si>
    <t xml:space="preserve">Dados de entrada por UF</t>
  </si>
  <si>
    <t xml:space="preserve">População e renda: IBGE 2025 (planilha memoria_calculo_fpe-v3). Coeficientes fixos: Anexo Único da LC 62/1989. Parlamentares: eleitos em out/2026 (documento fpe_congresso_2027 do projeto); "situação" segue Bolognesi, Ribeiro e Codato (DADOS, 2023): nota acima de 7,00.</t>
  </si>
  <si>
    <t xml:space="preserve">Sigla</t>
  </si>
  <si>
    <t xml:space="preserve">Estado</t>
  </si>
  <si>
    <t xml:space="preserve">Região</t>
  </si>
  <si>
    <t xml:space="preserve">População 2025</t>
  </si>
  <si>
    <t xml:space="preserve">Renda domiciliar per capita 2025 (R$/mês)</t>
  </si>
  <si>
    <t xml:space="preserve">Coeficiente fixo LC 62/89 (Anexo Único)</t>
  </si>
  <si>
    <t xml:space="preserve">Senadores</t>
  </si>
  <si>
    <t xml:space="preserve">Senadores da situação</t>
  </si>
  <si>
    <t xml:space="preserve">Deputados</t>
  </si>
  <si>
    <t xml:space="preserve">Deputados da situação</t>
  </si>
  <si>
    <t xml:space="preserve">AC</t>
  </si>
  <si>
    <t xml:space="preserve">Acre</t>
  </si>
  <si>
    <t xml:space="preserve">Norte</t>
  </si>
  <si>
    <t xml:space="preserve">AP</t>
  </si>
  <si>
    <t xml:space="preserve">Amapá</t>
  </si>
  <si>
    <t xml:space="preserve">AM</t>
  </si>
  <si>
    <t xml:space="preserve">Amazonas</t>
  </si>
  <si>
    <t xml:space="preserve">PA</t>
  </si>
  <si>
    <t xml:space="preserve">Pará</t>
  </si>
  <si>
    <t xml:space="preserve">RO</t>
  </si>
  <si>
    <t xml:space="preserve">Rondônia</t>
  </si>
  <si>
    <t xml:space="preserve">RR</t>
  </si>
  <si>
    <t xml:space="preserve">Roraima</t>
  </si>
  <si>
    <t xml:space="preserve">TO</t>
  </si>
  <si>
    <t xml:space="preserve">Tocantins</t>
  </si>
  <si>
    <t xml:space="preserve">AL</t>
  </si>
  <si>
    <t xml:space="preserve">Alagoas</t>
  </si>
  <si>
    <t xml:space="preserve">Nordeste</t>
  </si>
  <si>
    <t xml:space="preserve">BA</t>
  </si>
  <si>
    <t xml:space="preserve">Bahia</t>
  </si>
  <si>
    <t xml:space="preserve">CE</t>
  </si>
  <si>
    <t xml:space="preserve">Ceará</t>
  </si>
  <si>
    <t xml:space="preserve">MA</t>
  </si>
  <si>
    <t xml:space="preserve">Maranhão</t>
  </si>
  <si>
    <t xml:space="preserve">PB</t>
  </si>
  <si>
    <t xml:space="preserve">Paraíba</t>
  </si>
  <si>
    <t xml:space="preserve">PE</t>
  </si>
  <si>
    <t xml:space="preserve">Pernambuco</t>
  </si>
  <si>
    <t xml:space="preserve">PI</t>
  </si>
  <si>
    <t xml:space="preserve">Piauí</t>
  </si>
  <si>
    <t xml:space="preserve">RN</t>
  </si>
  <si>
    <t xml:space="preserve">Rio Grande do Norte</t>
  </si>
  <si>
    <t xml:space="preserve">SE</t>
  </si>
  <si>
    <t xml:space="preserve">Sergipe</t>
  </si>
  <si>
    <t xml:space="preserve">DF</t>
  </si>
  <si>
    <t xml:space="preserve">Distrito Federal</t>
  </si>
  <si>
    <t xml:space="preserve">Centro-Oeste</t>
  </si>
  <si>
    <t xml:space="preserve">GO</t>
  </si>
  <si>
    <t xml:space="preserve">Goiás</t>
  </si>
  <si>
    <t xml:space="preserve">MT</t>
  </si>
  <si>
    <t xml:space="preserve">Mato Grosso</t>
  </si>
  <si>
    <t xml:space="preserve">MS</t>
  </si>
  <si>
    <t xml:space="preserve">Mato Grosso do Sul</t>
  </si>
  <si>
    <t xml:space="preserve">ES</t>
  </si>
  <si>
    <t xml:space="preserve">Espírito Santo</t>
  </si>
  <si>
    <t xml:space="preserve">Sudeste</t>
  </si>
  <si>
    <t xml:space="preserve">MG</t>
  </si>
  <si>
    <t xml:space="preserve">Minas Gerais</t>
  </si>
  <si>
    <t xml:space="preserve">RJ</t>
  </si>
  <si>
    <t xml:space="preserve">Rio de Janeiro</t>
  </si>
  <si>
    <t xml:space="preserve">SP</t>
  </si>
  <si>
    <t xml:space="preserve">São Paulo</t>
  </si>
  <si>
    <t xml:space="preserve">PR</t>
  </si>
  <si>
    <t xml:space="preserve">Paraná</t>
  </si>
  <si>
    <t xml:space="preserve">Sul</t>
  </si>
  <si>
    <t xml:space="preserve">RS</t>
  </si>
  <si>
    <t xml:space="preserve">Rio Grande do Sul</t>
  </si>
  <si>
    <t xml:space="preserve">SC</t>
  </si>
  <si>
    <t xml:space="preserve">Santa Catarina</t>
  </si>
  <si>
    <t xml:space="preserve">Brasil</t>
  </si>
  <si>
    <t xml:space="preserve">Notas: (1) Romário (sem partido) e Rede, Avante e Solidariedade contam como neutros; PT, PSOL, PCdoB, PDT, PSB e PV como oposição. (2) MDB, PSD e PSDB estão por pouco acima do corte (notas 7,01 a 7,11). (3) Pressupõe que cada parlamentar vota pelo interesse do seu estado.</t>
  </si>
  <si>
    <t xml:space="preserve">Etapa 1 · Regra atual: quanto cada UF recebe em 2027</t>
  </si>
  <si>
    <t xml:space="preserve">A fórmula da LC 143/2013 reparte só a parte do FPE que excede a base de 2015 (o "excedente"). O resto segue os coeficientes fixos de 1989. A coluna P é a referência contra a qual se medem ganhos e perdas. A coluna N é o que vale se nada for aprovado até o prazo do STF (ADI 5069): a partir do 2º semestre de 2027, 100% do FPE pela fórmula.</t>
  </si>
  <si>
    <t xml:space="preserve">Dado (IBGE 2025)</t>
  </si>
  <si>
    <t xml:space="preserve">PASSO 1
População da UF ÷ população do Brasil.</t>
  </si>
  <si>
    <t xml:space="preserve">PASSO 2
Nenhuma UF conta com menos de 1,2% nem mais de 7% da população.</t>
  </si>
  <si>
    <t xml:space="preserve">PASSO 3
Reescala o Passo 2 para que a soma das 27 UFs dê 50%.</t>
  </si>
  <si>
    <t xml:space="preserve">PASSO 4
1 ÷ renda per capita. Quanto mais pobre a UF, maior o número.</t>
  </si>
  <si>
    <t xml:space="preserve">PASSO 5
Reescala o Passo 4 para que a soma dê 50%.</t>
  </si>
  <si>
    <t xml:space="preserve">PASSO 6
Quanto a renda da UF passa de 72% da renda nacional (máximo 100%). Zero para quem está abaixo.</t>
  </si>
  <si>
    <t xml:space="preserve">PASSO 7
(Fator população + fator renda) × (1 − redutor).
Hoje o redutor corta os DOIS fatores.</t>
  </si>
  <si>
    <t xml:space="preserve">PASSO 8
Nenhuma UF fica abaixo de 0,5%.</t>
  </si>
  <si>
    <t xml:space="preserve">PASSO 9
Reescala para que a soma das 27 UFs dê 100%.</t>
  </si>
  <si>
    <t xml:space="preserve">Dado (Anexo Único da LC 62/89).</t>
  </si>
  <si>
    <t xml:space="preserve">PASSO 10
64,43% do FPE pelos coeficientes fixos + 35,57% pelo coeficiente do Passo 9.</t>
  </si>
  <si>
    <t xml:space="preserve">População</t>
  </si>
  <si>
    <t xml:space="preserve">Renda per capita (R$)</t>
  </si>
  <si>
    <t xml:space="preserve">% da população do Brasil</t>
  </si>
  <si>
    <t xml:space="preserve">% da população com piso e teto</t>
  </si>
  <si>
    <t xml:space="preserve">Fator população</t>
  </si>
  <si>
    <t xml:space="preserve">Inverso da renda (1 ÷ renda)</t>
  </si>
  <si>
    <t xml:space="preserve">Fator renda</t>
  </si>
  <si>
    <t xml:space="preserve">Redutor</t>
  </si>
  <si>
    <t xml:space="preserve">Coeficiente com redutor</t>
  </si>
  <si>
    <t xml:space="preserve">Coeficiente após mínimo</t>
  </si>
  <si>
    <t xml:space="preserve">Coeficiente da fórmula (soma 100%)</t>
  </si>
  <si>
    <t xml:space="preserve">Coeficiente fixo LC 62/89</t>
  </si>
  <si>
    <t xml:space="preserve">Participação 2027 pela regra atual</t>
  </si>
  <si>
    <t xml:space="preserve">Brasil (soma)</t>
  </si>
  <si>
    <t xml:space="preserve">↑ renda nacional</t>
  </si>
  <si>
    <t xml:space="preserve">Etapa 2 · Fórmula nova: o redutor passa a cortar só o fator renda</t>
  </si>
  <si>
    <t xml:space="preserve">Mesmos dados e mesmos parâmetros da lei (VR 72%, piso 1,2%, teto 7%, mínimo 0,5%). Muda só o Passo 7 (coluna verde) e todo o FPE passa a ser repartido pela fórmula. O resultado (coluna N) ainda não tem nenhuma proteção: é o ponto de partida do fundo.</t>
  </si>
  <si>
    <t xml:space="preserve">PASSO 7  ★ MUDANÇA
Fator população + fator renda × (1 − redutor).
O redutor corta SÓ o fator renda.</t>
  </si>
  <si>
    <t xml:space="preserve">Etapa 3 · Fundo de compensação: piso de perda e teto de ganho</t>
  </si>
  <si>
    <t xml:space="preserve">Cada UF é comparada com o que receberia pela regra atual. Quem ganharia mais de 10% entrega o excesso ao fundo. Quem perderia mais que o permitido recebe do fundo até chegar ao piso. O que sobrar no fundo é devolvido a todas as UFs na proporção do que já recebem (Passo 19).</t>
  </si>
  <si>
    <t xml:space="preserve">PASSO 11
Pequena (&lt; 2,5 mi hab.) ou demais.</t>
  </si>
  <si>
    <t xml:space="preserve">Vem da Etapa 1 (coluna P).</t>
  </si>
  <si>
    <t xml:space="preserve">Vem da Etapa 2 (coluna N).</t>
  </si>
  <si>
    <t xml:space="preserve">Fórmula nova ÷ regra atual − 1.</t>
  </si>
  <si>
    <t xml:space="preserve">PASSO 12
Pequena: 0%. Demais: 5%.</t>
  </si>
  <si>
    <t xml:space="preserve">PASSO 13
Regra atual × (1 − perda máxima). Ninguém recebe menos que isso.</t>
  </si>
  <si>
    <t xml:space="preserve">PASSO 14
10% para todas as UFs, sem exceção.</t>
  </si>
  <si>
    <t xml:space="preserve">PASSO 15
Regra atual × (1 + ganho máximo).</t>
  </si>
  <si>
    <t xml:space="preserve">PASSO 16
O que a fórmula dá acima do teto vai para o fundo.</t>
  </si>
  <si>
    <t xml:space="preserve">PASSO 17
O que falta para chegar ao piso sai do fundo.</t>
  </si>
  <si>
    <t xml:space="preserve">PASSO 18
Fórmula − entrega + recebimento.</t>
  </si>
  <si>
    <t xml:space="preserve">PASSO 19
A sobra do fundo volta a todas na proporção do Passo 18, para a soma dar 100%.</t>
  </si>
  <si>
    <t xml:space="preserve">Participação final ÷ regra atual − 1.</t>
  </si>
  <si>
    <t xml:space="preserve">Grupo</t>
  </si>
  <si>
    <t xml:space="preserve">Regra atual 2027</t>
  </si>
  <si>
    <t xml:space="preserve">Fórmula nova (sem fundo)</t>
  </si>
  <si>
    <t xml:space="preserve">Variação sem fundo</t>
  </si>
  <si>
    <t xml:space="preserve">Perda máxima permitida</t>
  </si>
  <si>
    <t xml:space="preserve">Piso garantido</t>
  </si>
  <si>
    <t xml:space="preserve">Ganho máximo permitido</t>
  </si>
  <si>
    <t xml:space="preserve">Teto de ganho</t>
  </si>
  <si>
    <t xml:space="preserve">Entrega ao fundo</t>
  </si>
  <si>
    <t xml:space="preserve">Recebe do fundo</t>
  </si>
  <si>
    <t xml:space="preserve">Após piso e teto</t>
  </si>
  <si>
    <t xml:space="preserve">Participação final</t>
  </si>
  <si>
    <t xml:space="preserve">Variação final</t>
  </si>
  <si>
    <t xml:space="preserve">Resultado</t>
  </si>
  <si>
    <t xml:space="preserve">Balanço do fundo</t>
  </si>
  <si>
    <t xml:space="preserve">Arrecadado (soma do Passo 16)</t>
  </si>
  <si>
    <t xml:space="preserve">Pago às UFs que perderiam demais (soma do Passo 17)</t>
  </si>
  <si>
    <t xml:space="preserve">Sobra do fundo (devolvida a todas no Passo 19)</t>
  </si>
  <si>
    <t xml:space="preserve">Efeito da devolução sobre cada UF</t>
  </si>
  <si>
    <t xml:space="preserve">Conferência: soma das participações finais (deve dar 100%)</t>
  </si>
  <si>
    <t xml:space="preserve">Conferência: o RS está no grupo que mais ganha (no teto)?</t>
  </si>
  <si>
    <t xml:space="preserve">Os valores do fundo estão em pontos percentuais do FPE total. Exemplo: 0,50% = meio por cento de todo o fundo. Se a sobra for negativa (fundo não cobre os pisos), a devolução vira um corte proporcional e as perdas passam um pouco do limite.</t>
  </si>
  <si>
    <t xml:space="preserve">Etapa 4 · Comparação: regra atual × proposta</t>
  </si>
  <si>
    <t xml:space="preserve">Três situações para 2027: a regra atual (ano cheio), o que vale se nada for aprovado (2º semestre de 2027, só a fórmula atual) e a proposta. "Não perde" inclui quem ganha e quem mantém. É a base para contar os votos.</t>
  </si>
  <si>
    <t xml:space="preserve">Se nada for aprovado (2º sem/2027)</t>
  </si>
  <si>
    <t xml:space="preserve">Proposta</t>
  </si>
  <si>
    <t xml:space="preserve">Proposta × regra atual</t>
  </si>
  <si>
    <t xml:space="preserve">Proposta × se nada for aprovado</t>
  </si>
  <si>
    <t xml:space="preserve">Por região</t>
  </si>
  <si>
    <t xml:space="preserve">Se nada for aprovado</t>
  </si>
  <si>
    <t xml:space="preserve">N + NE + CO</t>
  </si>
  <si>
    <t xml:space="preserve">Votos: parlamentares de UFs que não perdem</t>
  </si>
  <si>
    <t xml:space="preserve">Casa</t>
  </si>
  <si>
    <t xml:space="preserve">UFs que não perdem</t>
  </si>
  <si>
    <t xml:space="preserve">Total de parlamentares</t>
  </si>
  <si>
    <t xml:space="preserve">Só da situação</t>
  </si>
  <si>
    <t xml:space="preserve">Atinge só com a situação?</t>
  </si>
  <si>
    <t xml:space="preserve">Hipótese: cada parlamentar vota pelo interesse do seu estado. Se MDB, PSD e PSDB forem tratados como neutros, a contagem cai para 40 senadores e 214 deputados.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</si>
</sst>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00%"/>
    <numFmt numFmtId="166" formatCode="\+0.0%;\-0.0%;0.0%"/>
    <numFmt numFmtId="167" formatCode="General"/>
    <numFmt numFmtId="168" formatCode="\+0.0%"/>
    <numFmt numFmtId="169" formatCode="0.00%"/>
    <numFmt numFmtId="170" formatCode="0"/>
    <numFmt numFmtId="171" formatCode="#,##0.00"/>
    <numFmt numFmtId="172" formatCode="0.0%"/>
    <numFmt numFmtId="173" formatCode="#,##0"/>
    <numFmt numFmtId="174" formatCode="0.000000"/>
    <numFmt numFmtId="175" formatCode="\+0%"/>
    <numFmt numFmtId="176" formatCode="\+0.00%;\-0.00%;0.00%"/>
    <numFmt numFmtId="177" formatCode="\+0.0000%;\-0.0000%;0.0000%"/>
    <numFmt numFmtId="178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9F9F9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Proposta × regra atual 2027 (variação por UF)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'4 Comparação'!G5</c:f>
              <c:strCache>
                <c:ptCount val="1"/>
                <c:pt idx="0">
                  <c:v>Proposta × regra atual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+0.0%;\-0.0%;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Comparação'!$A$6:$A$32</c:f>
              <c:strCache>
                <c:ptCount val="27"/>
                <c:pt idx="0">
                  <c:v>AC</c:v>
                </c:pt>
                <c:pt idx="1">
                  <c:v>AP</c:v>
                </c:pt>
                <c:pt idx="2">
                  <c:v>AM</c:v>
                </c:pt>
                <c:pt idx="3">
                  <c:v>PA</c:v>
                </c:pt>
                <c:pt idx="4">
                  <c:v>RO</c:v>
                </c:pt>
                <c:pt idx="5">
                  <c:v>RR</c:v>
                </c:pt>
                <c:pt idx="6">
                  <c:v>TO</c:v>
                </c:pt>
                <c:pt idx="7">
                  <c:v>AL</c:v>
                </c:pt>
                <c:pt idx="8">
                  <c:v>BA</c:v>
                </c:pt>
                <c:pt idx="9">
                  <c:v>CE</c:v>
                </c:pt>
                <c:pt idx="10">
                  <c:v>MA</c:v>
                </c:pt>
                <c:pt idx="11">
                  <c:v>PB</c:v>
                </c:pt>
                <c:pt idx="12">
                  <c:v>PE</c:v>
                </c:pt>
                <c:pt idx="13">
                  <c:v>PI</c:v>
                </c:pt>
                <c:pt idx="14">
                  <c:v>RN</c:v>
                </c:pt>
                <c:pt idx="15">
                  <c:v>SE</c:v>
                </c:pt>
                <c:pt idx="16">
                  <c:v>DF</c:v>
                </c:pt>
                <c:pt idx="17">
                  <c:v>GO</c:v>
                </c:pt>
                <c:pt idx="18">
                  <c:v>MT</c:v>
                </c:pt>
                <c:pt idx="19">
                  <c:v>MS</c:v>
                </c:pt>
                <c:pt idx="20">
                  <c:v>ES</c:v>
                </c:pt>
                <c:pt idx="21">
                  <c:v>MG</c:v>
                </c:pt>
                <c:pt idx="22">
                  <c:v>RJ</c:v>
                </c:pt>
                <c:pt idx="23">
                  <c:v>SP</c:v>
                </c:pt>
                <c:pt idx="24">
                  <c:v>PR</c:v>
                </c:pt>
                <c:pt idx="25">
                  <c:v>RS</c:v>
                </c:pt>
                <c:pt idx="26">
                  <c:v>SC</c:v>
                </c:pt>
              </c:strCache>
            </c:strRef>
          </c:cat>
          <c:val>
            <c:numRef>
              <c:f>'4 Comparação'!$G$6:$G$32</c:f>
              <c:numCache>
                <c:formatCode>\+0.0%;\-0.0%;0.0%</c:formatCode>
                <c:ptCount val="27"/>
                <c:pt idx="0">
                  <c:v>0.00332373302250466</c:v>
                </c:pt>
                <c:pt idx="1">
                  <c:v>0.00332373302250466</c:v>
                </c:pt>
                <c:pt idx="2">
                  <c:v>0.103656106324755</c:v>
                </c:pt>
                <c:pt idx="3">
                  <c:v>-0.0468424536286208</c:v>
                </c:pt>
                <c:pt idx="4">
                  <c:v>0.00332373302250444</c:v>
                </c:pt>
                <c:pt idx="5">
                  <c:v>0.0112858406790968</c:v>
                </c:pt>
                <c:pt idx="6">
                  <c:v>0.00332373302250444</c:v>
                </c:pt>
                <c:pt idx="7">
                  <c:v>-0.0468424536286208</c:v>
                </c:pt>
                <c:pt idx="8">
                  <c:v>-0.0468424536286207</c:v>
                </c:pt>
                <c:pt idx="9">
                  <c:v>-0.0468424536286207</c:v>
                </c:pt>
                <c:pt idx="10">
                  <c:v>-0.0468424536286208</c:v>
                </c:pt>
                <c:pt idx="11">
                  <c:v>-0.0468424536286208</c:v>
                </c:pt>
                <c:pt idx="12">
                  <c:v>-0.0468424536286207</c:v>
                </c:pt>
                <c:pt idx="13">
                  <c:v>-0.0468424536286208</c:v>
                </c:pt>
                <c:pt idx="14">
                  <c:v>-0.0468424536286208</c:v>
                </c:pt>
                <c:pt idx="15">
                  <c:v>0.00332373302250444</c:v>
                </c:pt>
                <c:pt idx="16">
                  <c:v>0.103656106324755</c:v>
                </c:pt>
                <c:pt idx="17">
                  <c:v>0.103656106324755</c:v>
                </c:pt>
                <c:pt idx="18">
                  <c:v>-0.0203174304287358</c:v>
                </c:pt>
                <c:pt idx="19">
                  <c:v>0.103656106324755</c:v>
                </c:pt>
                <c:pt idx="20">
                  <c:v>0.103656106324755</c:v>
                </c:pt>
                <c:pt idx="21">
                  <c:v>0.103656106324755</c:v>
                </c:pt>
                <c:pt idx="22">
                  <c:v>0.103656106324755</c:v>
                </c:pt>
                <c:pt idx="23">
                  <c:v>0.103656106324755</c:v>
                </c:pt>
                <c:pt idx="24">
                  <c:v>0.103656106324755</c:v>
                </c:pt>
                <c:pt idx="25">
                  <c:v>0.103656106324755</c:v>
                </c:pt>
                <c:pt idx="26">
                  <c:v>0.103656106324755</c:v>
                </c:pt>
              </c:numCache>
            </c:numRef>
          </c:val>
        </c:ser>
        <c:gapWidth val="40"/>
        <c:overlap val="0"/>
        <c:axId val="57092822"/>
        <c:axId val="41941890"/>
      </c:barChart>
      <c:catAx>
        <c:axId val="570928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41890"/>
        <c:crosses val="autoZero"/>
        <c:auto val="1"/>
        <c:lblAlgn val="ctr"/>
        <c:lblOffset val="100"/>
        <c:noMultiLvlLbl val="0"/>
      </c:catAx>
      <c:valAx>
        <c:axId val="4194189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92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145440</xdr:rowOff>
    </xdr:from>
    <xdr:to>
      <xdr:col>23</xdr:col>
      <xdr:colOff>255960</xdr:colOff>
      <xdr:row>30</xdr:row>
      <xdr:rowOff>58680</xdr:rowOff>
    </xdr:to>
    <xdr:graphicFrame>
      <xdr:nvGraphicFramePr>
        <xdr:cNvPr id="0" name="Chart 1"/>
        <xdr:cNvGraphicFramePr/>
      </xdr:nvGraphicFramePr>
      <xdr:xfrm>
        <a:off x="12030120" y="1104840"/>
        <a:ext cx="575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19.7" hidden="false" customHeight="fals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  <c r="C2" s="2"/>
      <c r="D2" s="2"/>
      <c r="E2" s="2"/>
      <c r="F2" s="2"/>
    </row>
    <row r="4" customFormat="false" ht="19.5" hidden="false" customHeight="true" outlineLevel="0" collapsed="false">
      <c r="B4" s="3" t="s">
        <v>2</v>
      </c>
      <c r="C4" s="4"/>
      <c r="D4" s="4"/>
      <c r="E4" s="4"/>
      <c r="F4" s="4"/>
    </row>
    <row r="5" customFormat="false" ht="43.5" hidden="false" customHeight="true" outlineLevel="0" collapsed="false">
      <c r="B5" s="5" t="s">
        <v>3</v>
      </c>
      <c r="C5" s="6" t="str">
        <f aca="false">"Mesma fórmula da LC 143/2013 (VR "&amp;TEXT(VR,"0%")&amp;", população entre "&amp;FIXED(PISO_POP*100,1)&amp;"%"&amp;" e "&amp;TEXT(TETO_POP,"0%")&amp;", mínimo "&amp;FIXED(COEF_MIN*100,1)&amp;"%"&amp;"), com uma mudança: o redutor de renda corta só o fator renda, e não mais o fator população. Todo o FPE passa a ser repartido por ela."</f>
        <v>Mesma fórmula da LC 143/2013 (VR 72%, população entre 1.2% e 7%, mínimo 0.5%), com uma mudança: o redutor de renda corta só o fator renda, e não mais o fator população. Todo o FPE passa a ser repartido por ela.</v>
      </c>
      <c r="D5" s="6"/>
      <c r="E5" s="6"/>
      <c r="F5" s="6"/>
    </row>
    <row r="6" customFormat="false" ht="43.5" hidden="false" customHeight="true" outlineLevel="0" collapsed="false">
      <c r="B6" s="5" t="s">
        <v>4</v>
      </c>
      <c r="C6" s="6" t="str">
        <f aca="false">"Nenhuma UF recebe menos que "&amp;TEXT(1-PERDA_MAX,"0%")&amp;" do que receberia em 2027 pela regra atual. Quem perderia mais é completado pelo fundo."</f>
        <v>Nenhuma UF recebe menos que 95% do que receberia em 2027 pela regra atual. Quem perderia mais é completado pelo fundo.</v>
      </c>
      <c r="D6" s="6"/>
      <c r="E6" s="6"/>
      <c r="F6" s="6"/>
    </row>
    <row r="7" customFormat="false" ht="43.5" hidden="false" customHeight="true" outlineLevel="0" collapsed="false">
      <c r="B7" s="5" t="s">
        <v>5</v>
      </c>
      <c r="C7" s="6" t="str">
        <f aca="false">"UFs com menos de "&amp;FIXED(POP_PEQ/1000000,1)&amp;" milhões de habitantes não perdem nada (perda máxima de "&amp;TEXT(PERDA_PEQ,"0%")&amp;"): AC, AP, RO, RR, TO e SE. Justificativa: o custo fixo de manter a máquina estadual, a mesma lógica do piso populacional."</f>
        <v>UFs com menos de 2.5 milhões de habitantes não perdem nada (perda máxima de 0%): AC, AP, RO, RR, TO e SE. Justificativa: o custo fixo de manter a máquina estadual, a mesma lógica do piso populacional.</v>
      </c>
      <c r="D7" s="6"/>
      <c r="E7" s="6"/>
      <c r="F7" s="6"/>
    </row>
    <row r="8" customFormat="false" ht="43.5" hidden="false" customHeight="true" outlineLevel="0" collapsed="false">
      <c r="B8" s="5" t="s">
        <v>6</v>
      </c>
      <c r="C8" s="6" t="str">
        <f aca="false">"Nenhuma UF ganha mais de "&amp;TEXT(GANHO_MAX,"0%")&amp;" sobre a regra atual. O que passar disso vai para o fundo, que paga os pisos das regras 2 e 3. O que sobrar no fundo volta a todas as UFs na proporção do que recebem."</f>
        <v>Nenhuma UF ganha mais de 10% sobre a regra atual. O que passar disso vai para o fundo, que paga os pisos das regras 2 e 3. O que sobrar no fundo volta a todas as UFs na proporção do que recebem.</v>
      </c>
      <c r="D8" s="6"/>
      <c r="E8" s="6"/>
      <c r="F8" s="6"/>
    </row>
    <row r="9" customFormat="false" ht="43.5" hidden="false" customHeight="true" outlineLevel="0" collapsed="false">
      <c r="B9" s="5" t="s">
        <v>7</v>
      </c>
      <c r="C9" s="6" t="str">
        <f aca="false">"Não há regra específica para nenhuma UF. Pela fórmula nova o RS ganharia +"&amp;TEXT(INDEX('3 Fundo'!G6:G32,MATCH("RS",'3 Fundo'!A6:A32,0)),"0%")&amp;", bem acima do teto. Por isso chega ao teto, empatado com as outras UFs que mais ganham."</f>
        <v>Não há regra específica para nenhuma UF. Pela fórmula nova o RS ganharia +79%, bem acima do teto. Por isso chega ao teto, empatado com as outras UFs que mais ganham.</v>
      </c>
      <c r="D9" s="6"/>
      <c r="E9" s="6"/>
      <c r="F9" s="6"/>
    </row>
    <row r="11" customFormat="false" ht="19.5" hidden="false" customHeight="true" outlineLevel="0" collapsed="false">
      <c r="B11" s="3" t="s">
        <v>8</v>
      </c>
      <c r="C11" s="4"/>
      <c r="D11" s="4"/>
      <c r="E11" s="4"/>
      <c r="F11" s="4"/>
    </row>
    <row r="12" customFormat="false" ht="22.35" hidden="false" customHeight="false" outlineLevel="0" collapsed="false">
      <c r="C12" s="7" t="s">
        <v>9</v>
      </c>
      <c r="D12" s="7" t="s">
        <v>10</v>
      </c>
    </row>
    <row r="13" customFormat="false" ht="15" hidden="false" customHeight="false" outlineLevel="0" collapsed="false">
      <c r="B13" s="8" t="s">
        <v>11</v>
      </c>
      <c r="C13" s="9" t="n">
        <f aca="false">INDEX('4 Comparação'!D$6:D$32,MATCH("RS",'4 Comparação'!$A$6:$A$32,0))</f>
        <v>0.0213383232621058</v>
      </c>
      <c r="D13" s="10" t="n">
        <f aca="false">INDEX('4 Comparação'!G$6:G$32,MATCH("RS",'4 Comparação'!$A$6:$A$32,0))</f>
        <v>0.103656106324755</v>
      </c>
    </row>
    <row r="14" customFormat="false" ht="15" hidden="false" customHeight="false" outlineLevel="0" collapsed="false">
      <c r="B14" s="8" t="s">
        <v>12</v>
      </c>
      <c r="C14" s="9" t="n">
        <f aca="false">INDEX('4 Comparação'!E$6:E$32,MATCH("RS",'4 Comparação'!$A$6:$A$32,0))</f>
        <v>0.0173358078777224</v>
      </c>
      <c r="D14" s="10" t="n">
        <f aca="false">INDEX('4 Comparação'!H$6:H$32,MATCH("RS",'4 Comparação'!$A$6:$A$32,0))</f>
        <v>0.358469759994177</v>
      </c>
    </row>
    <row r="15" customFormat="false" ht="15" hidden="false" customHeight="false" outlineLevel="0" collapsed="false">
      <c r="B15" s="8" t="s">
        <v>13</v>
      </c>
      <c r="C15" s="9" t="n">
        <f aca="false">INDEX('3 Fundo'!F$6:F$32,MATCH("RS",'3 Fundo'!$A$6:$A$32,0))</f>
        <v>0.0382298177643624</v>
      </c>
      <c r="D15" s="10"/>
    </row>
    <row r="16" customFormat="false" ht="15" hidden="false" customHeight="false" outlineLevel="0" collapsed="false">
      <c r="B16" s="11" t="s">
        <v>14</v>
      </c>
      <c r="C16" s="12" t="n">
        <f aca="false">INDEX('4 Comparação'!F$6:F$32,MATCH("RS",'4 Comparação'!$A$6:$A$32,0))</f>
        <v>0.0235501707669547</v>
      </c>
      <c r="D16" s="13"/>
    </row>
    <row r="18" customFormat="false" ht="19.5" hidden="false" customHeight="true" outlineLevel="0" collapsed="false">
      <c r="B18" s="3" t="s">
        <v>15</v>
      </c>
      <c r="C18" s="4"/>
      <c r="D18" s="4"/>
      <c r="E18" s="4"/>
      <c r="F18" s="4"/>
    </row>
    <row r="19" customFormat="false" ht="15" hidden="false" customHeight="false" outlineLevel="0" collapsed="false">
      <c r="B19" s="8" t="s">
        <v>16</v>
      </c>
      <c r="C19" s="14" t="n">
        <f aca="false">COUNTIF('4 Comparação'!I6:I32,"Ganha")</f>
        <v>17</v>
      </c>
    </row>
    <row r="20" customFormat="false" ht="15" hidden="false" customHeight="false" outlineLevel="0" collapsed="false">
      <c r="B20" s="8" t="s">
        <v>17</v>
      </c>
      <c r="C20" s="14" t="n">
        <f aca="false">COUNTIF('4 Comparação'!I6:I32,"Mantém")</f>
        <v>0</v>
      </c>
    </row>
    <row r="21" customFormat="false" ht="15" hidden="false" customHeight="false" outlineLevel="0" collapsed="false">
      <c r="B21" s="8" t="s">
        <v>18</v>
      </c>
      <c r="C21" s="14" t="n">
        <f aca="false">COUNTIF('4 Comparação'!I6:I32,"Perde")</f>
        <v>10</v>
      </c>
    </row>
    <row r="22" customFormat="false" ht="15" hidden="false" customHeight="false" outlineLevel="0" collapsed="false">
      <c r="B22" s="8" t="s">
        <v>19</v>
      </c>
      <c r="C22" s="15" t="n">
        <f aca="false">GANHO_MAX</f>
        <v>0.1</v>
      </c>
    </row>
    <row r="23" customFormat="false" ht="15" hidden="false" customHeight="false" outlineLevel="0" collapsed="false">
      <c r="B23" s="8" t="s">
        <v>20</v>
      </c>
      <c r="C23" s="16" t="n">
        <f aca="false">'3 Fundo'!L33</f>
        <v>0.121170120095476</v>
      </c>
    </row>
    <row r="24" customFormat="false" ht="15" hidden="false" customHeight="false" outlineLevel="0" collapsed="false">
      <c r="B24" s="8" t="s">
        <v>21</v>
      </c>
      <c r="C24" s="16" t="n">
        <f aca="false">'4 Comparação'!D42</f>
        <v>0.846085952997475</v>
      </c>
      <c r="D24" s="16" t="n">
        <f aca="false">'4 Comparação'!F42</f>
        <v>0.830131822176508</v>
      </c>
    </row>
    <row r="26" customFormat="false" ht="19.5" hidden="false" customHeight="true" outlineLevel="0" collapsed="false">
      <c r="B26" s="3" t="s">
        <v>22</v>
      </c>
      <c r="C26" s="4"/>
      <c r="D26" s="4"/>
      <c r="E26" s="4"/>
      <c r="F26" s="4"/>
    </row>
    <row r="27" customFormat="false" ht="15" hidden="false" customHeight="false" outlineLevel="0" collapsed="false">
      <c r="C27" s="7" t="s">
        <v>23</v>
      </c>
      <c r="D27" s="7" t="s">
        <v>24</v>
      </c>
      <c r="E27" s="7" t="s">
        <v>25</v>
      </c>
    </row>
    <row r="28" customFormat="false" ht="15" hidden="false" customHeight="false" outlineLevel="0" collapsed="false">
      <c r="B28" s="17" t="s">
        <v>26</v>
      </c>
      <c r="C28" s="14" t="n">
        <f aca="false">'4 Comparação'!F47</f>
        <v>47</v>
      </c>
      <c r="D28" s="18" t="n">
        <f aca="false">'4 Comparação'!G47</f>
        <v>41</v>
      </c>
      <c r="E28" s="19" t="str">
        <f aca="false">'4 Comparação'!H47</f>
        <v>Sim</v>
      </c>
    </row>
    <row r="29" customFormat="false" ht="15" hidden="false" customHeight="false" outlineLevel="0" collapsed="false">
      <c r="B29" s="17" t="s">
        <v>27</v>
      </c>
      <c r="C29" s="14" t="n">
        <f aca="false">'4 Comparação'!F48</f>
        <v>263</v>
      </c>
      <c r="D29" s="18" t="n">
        <f aca="false">'4 Comparação'!G48</f>
        <v>257</v>
      </c>
      <c r="E29" s="19" t="str">
        <f aca="false">'4 Comparação'!H48</f>
        <v>Sim</v>
      </c>
    </row>
    <row r="31" customFormat="false" ht="19.5" hidden="false" customHeight="true" outlineLevel="0" collapsed="false">
      <c r="B31" s="3" t="s">
        <v>28</v>
      </c>
      <c r="C31" s="4"/>
      <c r="D31" s="4"/>
      <c r="E31" s="4"/>
      <c r="F31" s="4"/>
    </row>
    <row r="32" customFormat="false" ht="15" hidden="false" customHeight="false" outlineLevel="0" collapsed="false">
      <c r="B32" s="20" t="s">
        <v>29</v>
      </c>
      <c r="C32" s="21" t="s">
        <v>30</v>
      </c>
      <c r="D32" s="21"/>
      <c r="E32" s="21"/>
      <c r="F32" s="21"/>
    </row>
    <row r="33" customFormat="false" ht="15" hidden="false" customHeight="false" outlineLevel="0" collapsed="false">
      <c r="B33" s="20" t="s">
        <v>31</v>
      </c>
      <c r="C33" s="21" t="s">
        <v>32</v>
      </c>
      <c r="D33" s="21"/>
      <c r="E33" s="21"/>
      <c r="F33" s="21"/>
    </row>
    <row r="34" customFormat="false" ht="15" hidden="false" customHeight="false" outlineLevel="0" collapsed="false">
      <c r="B34" s="20" t="s">
        <v>33</v>
      </c>
      <c r="C34" s="21" t="s">
        <v>34</v>
      </c>
      <c r="D34" s="21"/>
      <c r="E34" s="21"/>
      <c r="F34" s="21"/>
    </row>
    <row r="35" customFormat="false" ht="15" hidden="false" customHeight="false" outlineLevel="0" collapsed="false">
      <c r="B35" s="20" t="s">
        <v>35</v>
      </c>
      <c r="C35" s="21" t="s">
        <v>36</v>
      </c>
      <c r="D35" s="21"/>
      <c r="E35" s="21"/>
      <c r="F35" s="21"/>
    </row>
    <row r="36" customFormat="false" ht="15" hidden="false" customHeight="false" outlineLevel="0" collapsed="false">
      <c r="B36" s="20" t="s">
        <v>37</v>
      </c>
      <c r="C36" s="21" t="s">
        <v>38</v>
      </c>
      <c r="D36" s="21"/>
      <c r="E36" s="21"/>
      <c r="F36" s="21"/>
    </row>
    <row r="37" customFormat="false" ht="15" hidden="false" customHeight="false" outlineLevel="0" collapsed="false">
      <c r="B37" s="20" t="s">
        <v>39</v>
      </c>
      <c r="C37" s="21" t="s">
        <v>40</v>
      </c>
      <c r="D37" s="21"/>
      <c r="E37" s="21"/>
      <c r="F37" s="21"/>
    </row>
    <row r="39" customFormat="false" ht="19.5" hidden="false" customHeight="true" outlineLevel="0" collapsed="false">
      <c r="B39" s="3" t="s">
        <v>41</v>
      </c>
      <c r="C39" s="4"/>
      <c r="D39" s="4"/>
      <c r="E39" s="4"/>
      <c r="F39" s="4"/>
    </row>
    <row r="40" customFormat="false" ht="30" hidden="false" customHeight="true" outlineLevel="0" collapsed="false">
      <c r="B40" s="22" t="s">
        <v>42</v>
      </c>
      <c r="C40" s="22"/>
      <c r="D40" s="22"/>
      <c r="E40" s="22"/>
      <c r="F40" s="22"/>
    </row>
    <row r="41" customFormat="false" ht="30" hidden="false" customHeight="true" outlineLevel="0" collapsed="false">
      <c r="B41" s="22" t="s">
        <v>43</v>
      </c>
      <c r="C41" s="22"/>
      <c r="D41" s="22"/>
      <c r="E41" s="22"/>
      <c r="F41" s="22"/>
    </row>
    <row r="42" customFormat="false" ht="30" hidden="false" customHeight="true" outlineLevel="0" collapsed="false">
      <c r="B42" s="22" t="s">
        <v>44</v>
      </c>
      <c r="C42" s="22"/>
      <c r="D42" s="22"/>
      <c r="E42" s="22"/>
      <c r="F42" s="22"/>
    </row>
  </sheetData>
  <mergeCells count="15">
    <mergeCell ref="B2:F2"/>
    <mergeCell ref="C5:F5"/>
    <mergeCell ref="C6:F6"/>
    <mergeCell ref="C7:F7"/>
    <mergeCell ref="C8:F8"/>
    <mergeCell ref="C9:F9"/>
    <mergeCell ref="C32:F32"/>
    <mergeCell ref="C33:F33"/>
    <mergeCell ref="C34:F34"/>
    <mergeCell ref="C35:F35"/>
    <mergeCell ref="C36:F36"/>
    <mergeCell ref="C37:F37"/>
    <mergeCell ref="B40:F40"/>
    <mergeCell ref="B41:F41"/>
    <mergeCell ref="B42:F42"/>
  </mergeCells>
  <conditionalFormatting sqref="D13:D16">
    <cfRule type="cellIs" priority="2" operator="greaterThan" aboveAverage="0" equalAverage="0" bottom="0" percent="0" rank="0" text="" dxfId="0">
      <formula>0.00005</formula>
    </cfRule>
    <cfRule type="cellIs" priority="3" operator="lessThan" aboveAverage="0" equalAverage="0" bottom="0" percent="0" rank="0" text="" dxfId="1">
      <formula>-0.00005</formula>
    </cfRule>
  </conditionalFormatting>
  <conditionalFormatting sqref="E28:E29">
    <cfRule type="cellIs" priority="4" operator="equal" aboveAverage="0" equalAverage="0" bottom="0" percent="0" rank="0" text="" dxfId="2">
      <formula>"Sim"</formula>
    </cfRule>
    <cfRule type="cellIs" priority="5" operator="equal" aboveAverage="0" equalAverage="0" bottom="0" percent="0" rank="0" text="" dxfId="3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8.55" hidden="false" customHeight="false" outlineLevel="0" collapsed="false">
      <c r="A1" s="23" t="s">
        <v>45</v>
      </c>
    </row>
    <row r="2" customFormat="false" ht="42" hidden="false" customHeight="true" outlineLevel="0" collapsed="false">
      <c r="A2" s="2" t="s">
        <v>46</v>
      </c>
      <c r="B2" s="2"/>
      <c r="C2" s="2"/>
      <c r="D2" s="2"/>
    </row>
    <row r="4" customFormat="false" ht="42" hidden="false" customHeight="true" outlineLevel="0" collapsed="false">
      <c r="A4" s="24"/>
      <c r="B4" s="24" t="s">
        <v>47</v>
      </c>
      <c r="C4" s="24" t="s">
        <v>48</v>
      </c>
      <c r="D4" s="24" t="s">
        <v>49</v>
      </c>
    </row>
    <row r="5" customFormat="false" ht="15" hidden="false" customHeight="false" outlineLevel="0" collapsed="false">
      <c r="B5" s="25" t="s">
        <v>50</v>
      </c>
    </row>
    <row r="6" customFormat="false" ht="27.75" hidden="false" customHeight="true" outlineLevel="0" collapsed="false">
      <c r="B6" s="26" t="s">
        <v>51</v>
      </c>
      <c r="C6" s="27" t="n">
        <v>2315.87</v>
      </c>
      <c r="D6" s="28" t="s">
        <v>52</v>
      </c>
    </row>
    <row r="7" customFormat="false" ht="27.75" hidden="false" customHeight="true" outlineLevel="0" collapsed="false">
      <c r="B7" s="26" t="s">
        <v>53</v>
      </c>
      <c r="C7" s="29" t="n">
        <v>0.72</v>
      </c>
      <c r="D7" s="28" t="s">
        <v>54</v>
      </c>
    </row>
    <row r="8" customFormat="false" ht="27.75" hidden="false" customHeight="true" outlineLevel="0" collapsed="false">
      <c r="B8" s="26" t="s">
        <v>55</v>
      </c>
      <c r="C8" s="29" t="n">
        <v>0.012</v>
      </c>
      <c r="D8" s="28" t="s">
        <v>56</v>
      </c>
    </row>
    <row r="9" customFormat="false" ht="27.75" hidden="false" customHeight="true" outlineLevel="0" collapsed="false">
      <c r="B9" s="26" t="s">
        <v>57</v>
      </c>
      <c r="C9" s="29" t="n">
        <v>0.07</v>
      </c>
      <c r="D9" s="28" t="s">
        <v>58</v>
      </c>
    </row>
    <row r="10" customFormat="false" ht="27.75" hidden="false" customHeight="true" outlineLevel="0" collapsed="false">
      <c r="B10" s="26" t="s">
        <v>59</v>
      </c>
      <c r="C10" s="29" t="n">
        <v>0.005</v>
      </c>
      <c r="D10" s="28" t="s">
        <v>60</v>
      </c>
    </row>
    <row r="11" customFormat="false" ht="15" hidden="false" customHeight="false" outlineLevel="0" collapsed="false">
      <c r="B11" s="25" t="s">
        <v>61</v>
      </c>
    </row>
    <row r="12" customFormat="false" ht="27.75" hidden="false" customHeight="true" outlineLevel="0" collapsed="false">
      <c r="B12" s="26" t="s">
        <v>62</v>
      </c>
      <c r="C12" s="30" t="n">
        <v>0.6443</v>
      </c>
      <c r="D12" s="28" t="s">
        <v>63</v>
      </c>
    </row>
    <row r="13" customFormat="false" ht="27.75" hidden="false" customHeight="true" outlineLevel="0" collapsed="false">
      <c r="B13" s="26" t="s">
        <v>64</v>
      </c>
      <c r="C13" s="31" t="n">
        <f aca="false">1-PESO_BASE</f>
        <v>0.3557</v>
      </c>
      <c r="D13" s="28" t="s">
        <v>65</v>
      </c>
    </row>
    <row r="14" customFormat="false" ht="15" hidden="false" customHeight="false" outlineLevel="0" collapsed="false">
      <c r="B14" s="25" t="s">
        <v>66</v>
      </c>
    </row>
    <row r="15" customFormat="false" ht="27.75" hidden="false" customHeight="true" outlineLevel="0" collapsed="false">
      <c r="B15" s="26" t="s">
        <v>67</v>
      </c>
      <c r="C15" s="29" t="n">
        <v>0.05</v>
      </c>
      <c r="D15" s="28" t="s">
        <v>68</v>
      </c>
    </row>
    <row r="16" customFormat="false" ht="27.75" hidden="false" customHeight="true" outlineLevel="0" collapsed="false">
      <c r="B16" s="26" t="s">
        <v>69</v>
      </c>
      <c r="C16" s="32" t="n">
        <v>2500000</v>
      </c>
      <c r="D16" s="28" t="s">
        <v>70</v>
      </c>
    </row>
    <row r="17" customFormat="false" ht="27.75" hidden="false" customHeight="true" outlineLevel="0" collapsed="false">
      <c r="B17" s="26" t="s">
        <v>71</v>
      </c>
      <c r="C17" s="29" t="n">
        <v>0</v>
      </c>
      <c r="D17" s="28" t="s">
        <v>72</v>
      </c>
    </row>
    <row r="18" customFormat="false" ht="27.75" hidden="false" customHeight="true" outlineLevel="0" collapsed="false">
      <c r="B18" s="26" t="s">
        <v>73</v>
      </c>
      <c r="C18" s="29" t="n">
        <v>0.1</v>
      </c>
      <c r="D18" s="28" t="s">
        <v>74</v>
      </c>
    </row>
    <row r="19" customFormat="false" ht="15" hidden="false" customHeight="false" outlineLevel="0" collapsed="false">
      <c r="B19" s="25" t="s">
        <v>75</v>
      </c>
    </row>
    <row r="20" customFormat="false" ht="27.75" hidden="false" customHeight="true" outlineLevel="0" collapsed="false">
      <c r="B20" s="26" t="s">
        <v>76</v>
      </c>
      <c r="C20" s="33" t="n">
        <v>41</v>
      </c>
      <c r="D20" s="28" t="s">
        <v>77</v>
      </c>
    </row>
    <row r="21" customFormat="false" ht="27.75" hidden="false" customHeight="true" outlineLevel="0" collapsed="false">
      <c r="B21" s="26" t="s">
        <v>78</v>
      </c>
      <c r="C21" s="33" t="n">
        <v>257</v>
      </c>
      <c r="D21" s="28" t="s">
        <v>79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7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8.55" hidden="false" customHeight="false" outlineLevel="0" collapsed="false">
      <c r="A1" s="23" t="s">
        <v>80</v>
      </c>
    </row>
    <row r="2" customFormat="false" ht="42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42" hidden="false" customHeight="true" outlineLevel="0" collapsed="false">
      <c r="A5" s="24" t="s">
        <v>82</v>
      </c>
      <c r="B5" s="24" t="s">
        <v>83</v>
      </c>
      <c r="C5" s="24" t="s">
        <v>84</v>
      </c>
      <c r="D5" s="24" t="s">
        <v>85</v>
      </c>
      <c r="E5" s="24" t="s">
        <v>86</v>
      </c>
      <c r="F5" s="24" t="s">
        <v>87</v>
      </c>
      <c r="G5" s="24" t="s">
        <v>88</v>
      </c>
      <c r="H5" s="24" t="s">
        <v>89</v>
      </c>
      <c r="I5" s="24" t="s">
        <v>90</v>
      </c>
      <c r="J5" s="24" t="s">
        <v>91</v>
      </c>
    </row>
    <row r="6" customFormat="false" ht="15" hidden="false" customHeight="false" outlineLevel="0" collapsed="false">
      <c r="A6" s="8" t="s">
        <v>92</v>
      </c>
      <c r="B6" s="8" t="s">
        <v>93</v>
      </c>
      <c r="C6" s="8" t="s">
        <v>94</v>
      </c>
      <c r="D6" s="34" t="n">
        <v>884372</v>
      </c>
      <c r="E6" s="35" t="n">
        <v>1391.53</v>
      </c>
      <c r="F6" s="36" t="n">
        <v>0.03421</v>
      </c>
      <c r="G6" s="37" t="n">
        <v>3</v>
      </c>
      <c r="H6" s="37" t="n">
        <v>3</v>
      </c>
      <c r="I6" s="37" t="n">
        <v>8</v>
      </c>
      <c r="J6" s="37" t="n">
        <v>7</v>
      </c>
    </row>
    <row r="7" customFormat="false" ht="15" hidden="false" customHeight="false" outlineLevel="0" collapsed="false">
      <c r="A7" s="8" t="s">
        <v>95</v>
      </c>
      <c r="B7" s="8" t="s">
        <v>96</v>
      </c>
      <c r="C7" s="8" t="s">
        <v>94</v>
      </c>
      <c r="D7" s="34" t="n">
        <v>806517</v>
      </c>
      <c r="E7" s="35" t="n">
        <v>1697.24</v>
      </c>
      <c r="F7" s="36" t="n">
        <v>0.03412</v>
      </c>
      <c r="G7" s="37" t="n">
        <v>3</v>
      </c>
      <c r="H7" s="37" t="n">
        <v>3</v>
      </c>
      <c r="I7" s="37" t="n">
        <v>8</v>
      </c>
      <c r="J7" s="37" t="n">
        <v>5</v>
      </c>
    </row>
    <row r="8" customFormat="false" ht="15" hidden="false" customHeight="false" outlineLevel="0" collapsed="false">
      <c r="A8" s="8" t="s">
        <v>97</v>
      </c>
      <c r="B8" s="8" t="s">
        <v>98</v>
      </c>
      <c r="C8" s="8" t="s">
        <v>94</v>
      </c>
      <c r="D8" s="34" t="n">
        <v>4321616</v>
      </c>
      <c r="E8" s="35" t="n">
        <v>1484.39</v>
      </c>
      <c r="F8" s="36" t="n">
        <v>0.027904</v>
      </c>
      <c r="G8" s="37" t="n">
        <v>3</v>
      </c>
      <c r="H8" s="37" t="n">
        <v>3</v>
      </c>
      <c r="I8" s="37" t="n">
        <v>8</v>
      </c>
      <c r="J8" s="37" t="n">
        <v>8</v>
      </c>
    </row>
    <row r="9" customFormat="false" ht="15" hidden="false" customHeight="false" outlineLevel="0" collapsed="false">
      <c r="A9" s="8" t="s">
        <v>99</v>
      </c>
      <c r="B9" s="8" t="s">
        <v>100</v>
      </c>
      <c r="C9" s="8" t="s">
        <v>94</v>
      </c>
      <c r="D9" s="34" t="n">
        <v>8711196</v>
      </c>
      <c r="E9" s="35" t="n">
        <v>1420</v>
      </c>
      <c r="F9" s="36" t="n">
        <v>0.06112</v>
      </c>
      <c r="G9" s="37" t="n">
        <v>3</v>
      </c>
      <c r="H9" s="37" t="n">
        <v>2</v>
      </c>
      <c r="I9" s="37" t="n">
        <v>17</v>
      </c>
      <c r="J9" s="37" t="n">
        <v>14</v>
      </c>
    </row>
    <row r="10" customFormat="false" ht="15" hidden="false" customHeight="false" outlineLevel="0" collapsed="false">
      <c r="A10" s="8" t="s">
        <v>101</v>
      </c>
      <c r="B10" s="8" t="s">
        <v>102</v>
      </c>
      <c r="C10" s="8" t="s">
        <v>94</v>
      </c>
      <c r="D10" s="34" t="n">
        <v>1751950</v>
      </c>
      <c r="E10" s="35" t="n">
        <v>1990.95</v>
      </c>
      <c r="F10" s="36" t="n">
        <v>0.028156</v>
      </c>
      <c r="G10" s="37" t="n">
        <v>3</v>
      </c>
      <c r="H10" s="37" t="n">
        <v>3</v>
      </c>
      <c r="I10" s="37" t="n">
        <v>8</v>
      </c>
      <c r="J10" s="37" t="n">
        <v>8</v>
      </c>
    </row>
    <row r="11" customFormat="false" ht="15" hidden="false" customHeight="false" outlineLevel="0" collapsed="false">
      <c r="A11" s="8" t="s">
        <v>103</v>
      </c>
      <c r="B11" s="8" t="s">
        <v>104</v>
      </c>
      <c r="C11" s="8" t="s">
        <v>94</v>
      </c>
      <c r="D11" s="34" t="n">
        <v>738772</v>
      </c>
      <c r="E11" s="35" t="n">
        <v>1764</v>
      </c>
      <c r="F11" s="36" t="n">
        <v>0.024807</v>
      </c>
      <c r="G11" s="37" t="n">
        <v>3</v>
      </c>
      <c r="H11" s="37" t="n">
        <v>3</v>
      </c>
      <c r="I11" s="37" t="n">
        <v>8</v>
      </c>
      <c r="J11" s="37" t="n">
        <v>8</v>
      </c>
    </row>
    <row r="12" customFormat="false" ht="15" hidden="false" customHeight="false" outlineLevel="0" collapsed="false">
      <c r="A12" s="8" t="s">
        <v>105</v>
      </c>
      <c r="B12" s="8" t="s">
        <v>106</v>
      </c>
      <c r="C12" s="8" t="s">
        <v>94</v>
      </c>
      <c r="D12" s="34" t="n">
        <v>1586859</v>
      </c>
      <c r="E12" s="35" t="n">
        <v>2036.09</v>
      </c>
      <c r="F12" s="36" t="n">
        <v>0.0434</v>
      </c>
      <c r="G12" s="37" t="n">
        <v>3</v>
      </c>
      <c r="H12" s="37" t="n">
        <v>3</v>
      </c>
      <c r="I12" s="37" t="n">
        <v>8</v>
      </c>
      <c r="J12" s="37" t="n">
        <v>8</v>
      </c>
    </row>
    <row r="13" customFormat="false" ht="15" hidden="false" customHeight="false" outlineLevel="0" collapsed="false">
      <c r="A13" s="8" t="s">
        <v>107</v>
      </c>
      <c r="B13" s="8" t="s">
        <v>108</v>
      </c>
      <c r="C13" s="8" t="s">
        <v>109</v>
      </c>
      <c r="D13" s="34" t="n">
        <v>3220848</v>
      </c>
      <c r="E13" s="35" t="n">
        <v>1421.6</v>
      </c>
      <c r="F13" s="36" t="n">
        <v>0.041601</v>
      </c>
      <c r="G13" s="37" t="n">
        <v>3</v>
      </c>
      <c r="H13" s="37" t="n">
        <v>3</v>
      </c>
      <c r="I13" s="37" t="n">
        <v>9</v>
      </c>
      <c r="J13" s="37" t="n">
        <v>9</v>
      </c>
    </row>
    <row r="14" customFormat="false" ht="15" hidden="false" customHeight="false" outlineLevel="0" collapsed="false">
      <c r="A14" s="8" t="s">
        <v>110</v>
      </c>
      <c r="B14" s="8" t="s">
        <v>111</v>
      </c>
      <c r="C14" s="8" t="s">
        <v>109</v>
      </c>
      <c r="D14" s="34" t="n">
        <v>14870907</v>
      </c>
      <c r="E14" s="35" t="n">
        <v>1465.2</v>
      </c>
      <c r="F14" s="36" t="n">
        <v>0.093962</v>
      </c>
      <c r="G14" s="37" t="n">
        <v>3</v>
      </c>
      <c r="H14" s="37" t="n">
        <v>1</v>
      </c>
      <c r="I14" s="37" t="n">
        <v>39</v>
      </c>
      <c r="J14" s="37" t="n">
        <v>24</v>
      </c>
    </row>
    <row r="15" customFormat="false" ht="15" hidden="false" customHeight="false" outlineLevel="0" collapsed="false">
      <c r="A15" s="8" t="s">
        <v>112</v>
      </c>
      <c r="B15" s="8" t="s">
        <v>113</v>
      </c>
      <c r="C15" s="8" t="s">
        <v>109</v>
      </c>
      <c r="D15" s="34" t="n">
        <v>9268836</v>
      </c>
      <c r="E15" s="35" t="n">
        <v>1389.77</v>
      </c>
      <c r="F15" s="36" t="n">
        <v>0.073369</v>
      </c>
      <c r="G15" s="37" t="n">
        <v>3</v>
      </c>
      <c r="H15" s="37" t="n">
        <v>0</v>
      </c>
      <c r="I15" s="37" t="n">
        <v>22</v>
      </c>
      <c r="J15" s="37" t="n">
        <v>14</v>
      </c>
    </row>
    <row r="16" customFormat="false" ht="15" hidden="false" customHeight="false" outlineLevel="0" collapsed="false">
      <c r="A16" s="8" t="s">
        <v>114</v>
      </c>
      <c r="B16" s="8" t="s">
        <v>115</v>
      </c>
      <c r="C16" s="8" t="s">
        <v>109</v>
      </c>
      <c r="D16" s="34" t="n">
        <v>7018211</v>
      </c>
      <c r="E16" s="35" t="n">
        <v>1219.42</v>
      </c>
      <c r="F16" s="36" t="n">
        <v>0.072182</v>
      </c>
      <c r="G16" s="37" t="n">
        <v>3</v>
      </c>
      <c r="H16" s="37" t="n">
        <v>2</v>
      </c>
      <c r="I16" s="37" t="n">
        <v>18</v>
      </c>
      <c r="J16" s="37" t="n">
        <v>15</v>
      </c>
    </row>
    <row r="17" customFormat="false" ht="15" hidden="false" customHeight="false" outlineLevel="0" collapsed="false">
      <c r="A17" s="8" t="s">
        <v>116</v>
      </c>
      <c r="B17" s="8" t="s">
        <v>117</v>
      </c>
      <c r="C17" s="8" t="s">
        <v>109</v>
      </c>
      <c r="D17" s="34" t="n">
        <v>4164468</v>
      </c>
      <c r="E17" s="35" t="n">
        <v>1543.07</v>
      </c>
      <c r="F17" s="36" t="n">
        <v>0.047889</v>
      </c>
      <c r="G17" s="37" t="n">
        <v>3</v>
      </c>
      <c r="H17" s="37" t="n">
        <v>2</v>
      </c>
      <c r="I17" s="37" t="n">
        <v>12</v>
      </c>
      <c r="J17" s="37" t="n">
        <v>10</v>
      </c>
    </row>
    <row r="18" customFormat="false" ht="15" hidden="false" customHeight="false" outlineLevel="0" collapsed="false">
      <c r="A18" s="8" t="s">
        <v>118</v>
      </c>
      <c r="B18" s="8" t="s">
        <v>119</v>
      </c>
      <c r="C18" s="8" t="s">
        <v>109</v>
      </c>
      <c r="D18" s="34" t="n">
        <v>9562007</v>
      </c>
      <c r="E18" s="35" t="n">
        <v>1600.24</v>
      </c>
      <c r="F18" s="36" t="n">
        <v>0.069002</v>
      </c>
      <c r="G18" s="37" t="n">
        <v>3</v>
      </c>
      <c r="H18" s="37" t="n">
        <v>0</v>
      </c>
      <c r="I18" s="37" t="n">
        <v>25</v>
      </c>
      <c r="J18" s="37" t="n">
        <v>15</v>
      </c>
    </row>
    <row r="19" customFormat="false" ht="15" hidden="false" customHeight="false" outlineLevel="0" collapsed="false">
      <c r="A19" s="8" t="s">
        <v>120</v>
      </c>
      <c r="B19" s="8" t="s">
        <v>121</v>
      </c>
      <c r="C19" s="8" t="s">
        <v>109</v>
      </c>
      <c r="D19" s="34" t="n">
        <v>3384547</v>
      </c>
      <c r="E19" s="35" t="n">
        <v>1546.21</v>
      </c>
      <c r="F19" s="36" t="n">
        <v>0.043214</v>
      </c>
      <c r="G19" s="37" t="n">
        <v>3</v>
      </c>
      <c r="H19" s="37" t="n">
        <v>3</v>
      </c>
      <c r="I19" s="37" t="n">
        <v>10</v>
      </c>
      <c r="J19" s="37" t="n">
        <v>6</v>
      </c>
    </row>
    <row r="20" customFormat="false" ht="15" hidden="false" customHeight="false" outlineLevel="0" collapsed="false">
      <c r="A20" s="8" t="s">
        <v>122</v>
      </c>
      <c r="B20" s="8" t="s">
        <v>123</v>
      </c>
      <c r="C20" s="8" t="s">
        <v>109</v>
      </c>
      <c r="D20" s="34" t="n">
        <v>3455236</v>
      </c>
      <c r="E20" s="35" t="n">
        <v>1819.11</v>
      </c>
      <c r="F20" s="36" t="n">
        <v>0.041779</v>
      </c>
      <c r="G20" s="37" t="n">
        <v>3</v>
      </c>
      <c r="H20" s="37" t="n">
        <v>2</v>
      </c>
      <c r="I20" s="37" t="n">
        <v>8</v>
      </c>
      <c r="J20" s="37" t="n">
        <v>5</v>
      </c>
    </row>
    <row r="21" customFormat="false" ht="15" hidden="false" customHeight="false" outlineLevel="0" collapsed="false">
      <c r="A21" s="8" t="s">
        <v>124</v>
      </c>
      <c r="B21" s="8" t="s">
        <v>125</v>
      </c>
      <c r="C21" s="8" t="s">
        <v>109</v>
      </c>
      <c r="D21" s="34" t="n">
        <v>2299425</v>
      </c>
      <c r="E21" s="35" t="n">
        <v>1696.78</v>
      </c>
      <c r="F21" s="36" t="n">
        <v>0.041553</v>
      </c>
      <c r="G21" s="37" t="n">
        <v>3</v>
      </c>
      <c r="H21" s="37" t="n">
        <v>2</v>
      </c>
      <c r="I21" s="37" t="n">
        <v>8</v>
      </c>
      <c r="J21" s="37" t="n">
        <v>6</v>
      </c>
    </row>
    <row r="22" customFormat="false" ht="15" hidden="false" customHeight="false" outlineLevel="0" collapsed="false">
      <c r="A22" s="8" t="s">
        <v>126</v>
      </c>
      <c r="B22" s="8" t="s">
        <v>127</v>
      </c>
      <c r="C22" s="8" t="s">
        <v>128</v>
      </c>
      <c r="D22" s="34" t="n">
        <v>2996899</v>
      </c>
      <c r="E22" s="35" t="n">
        <v>4537.77</v>
      </c>
      <c r="F22" s="36" t="n">
        <v>0.006902</v>
      </c>
      <c r="G22" s="37" t="n">
        <v>3</v>
      </c>
      <c r="H22" s="37" t="n">
        <v>3</v>
      </c>
      <c r="I22" s="37" t="n">
        <v>8</v>
      </c>
      <c r="J22" s="37" t="n">
        <v>5</v>
      </c>
    </row>
    <row r="23" customFormat="false" ht="15" hidden="false" customHeight="false" outlineLevel="0" collapsed="false">
      <c r="A23" s="8" t="s">
        <v>129</v>
      </c>
      <c r="B23" s="8" t="s">
        <v>130</v>
      </c>
      <c r="C23" s="8" t="s">
        <v>128</v>
      </c>
      <c r="D23" s="34" t="n">
        <v>7423629</v>
      </c>
      <c r="E23" s="35" t="n">
        <v>2406.89</v>
      </c>
      <c r="F23" s="36" t="n">
        <v>0.028431</v>
      </c>
      <c r="G23" s="37" t="n">
        <v>3</v>
      </c>
      <c r="H23" s="37" t="n">
        <v>3</v>
      </c>
      <c r="I23" s="37" t="n">
        <v>17</v>
      </c>
      <c r="J23" s="37" t="n">
        <v>15</v>
      </c>
    </row>
    <row r="24" customFormat="false" ht="15" hidden="false" customHeight="false" outlineLevel="0" collapsed="false">
      <c r="A24" s="8" t="s">
        <v>131</v>
      </c>
      <c r="B24" s="8" t="s">
        <v>132</v>
      </c>
      <c r="C24" s="8" t="s">
        <v>128</v>
      </c>
      <c r="D24" s="34" t="n">
        <v>3893659</v>
      </c>
      <c r="E24" s="35" t="n">
        <v>2334.96</v>
      </c>
      <c r="F24" s="36" t="n">
        <v>0.023079</v>
      </c>
      <c r="G24" s="37" t="n">
        <v>3</v>
      </c>
      <c r="H24" s="37" t="n">
        <v>3</v>
      </c>
      <c r="I24" s="37" t="n">
        <v>8</v>
      </c>
      <c r="J24" s="37" t="n">
        <v>7</v>
      </c>
    </row>
    <row r="25" customFormat="false" ht="15" hidden="false" customHeight="false" outlineLevel="0" collapsed="false">
      <c r="A25" s="8" t="s">
        <v>133</v>
      </c>
      <c r="B25" s="8" t="s">
        <v>134</v>
      </c>
      <c r="C25" s="8" t="s">
        <v>128</v>
      </c>
      <c r="D25" s="34" t="n">
        <v>2924631</v>
      </c>
      <c r="E25" s="35" t="n">
        <v>2454.02</v>
      </c>
      <c r="F25" s="36" t="n">
        <v>0.01332</v>
      </c>
      <c r="G25" s="37" t="n">
        <v>3</v>
      </c>
      <c r="H25" s="37" t="n">
        <v>3</v>
      </c>
      <c r="I25" s="37" t="n">
        <v>8</v>
      </c>
      <c r="J25" s="37" t="n">
        <v>7</v>
      </c>
    </row>
    <row r="26" customFormat="false" ht="15" hidden="false" customHeight="false" outlineLevel="0" collapsed="false">
      <c r="A26" s="8" t="s">
        <v>135</v>
      </c>
      <c r="B26" s="8" t="s">
        <v>136</v>
      </c>
      <c r="C26" s="8" t="s">
        <v>137</v>
      </c>
      <c r="D26" s="34" t="n">
        <v>4126854</v>
      </c>
      <c r="E26" s="35" t="n">
        <v>2248.85</v>
      </c>
      <c r="F26" s="36" t="n">
        <v>0.015</v>
      </c>
      <c r="G26" s="37" t="n">
        <v>3</v>
      </c>
      <c r="H26" s="37" t="n">
        <v>2</v>
      </c>
      <c r="I26" s="37" t="n">
        <v>10</v>
      </c>
      <c r="J26" s="37" t="n">
        <v>7</v>
      </c>
    </row>
    <row r="27" customFormat="false" ht="15" hidden="false" customHeight="false" outlineLevel="0" collapsed="false">
      <c r="A27" s="8" t="s">
        <v>138</v>
      </c>
      <c r="B27" s="8" t="s">
        <v>139</v>
      </c>
      <c r="C27" s="8" t="s">
        <v>137</v>
      </c>
      <c r="D27" s="34" t="n">
        <v>21393441</v>
      </c>
      <c r="E27" s="35" t="n">
        <v>2352.69</v>
      </c>
      <c r="F27" s="36" t="n">
        <v>0.044545</v>
      </c>
      <c r="G27" s="37" t="n">
        <v>3</v>
      </c>
      <c r="H27" s="37" t="n">
        <v>2</v>
      </c>
      <c r="I27" s="37" t="n">
        <v>53</v>
      </c>
      <c r="J27" s="37" t="n">
        <v>36</v>
      </c>
    </row>
    <row r="28" customFormat="false" ht="15" hidden="false" customHeight="false" outlineLevel="0" collapsed="false">
      <c r="A28" s="8" t="s">
        <v>140</v>
      </c>
      <c r="B28" s="8" t="s">
        <v>141</v>
      </c>
      <c r="C28" s="8" t="s">
        <v>137</v>
      </c>
      <c r="D28" s="34" t="n">
        <v>17223547</v>
      </c>
      <c r="E28" s="35" t="n">
        <v>2793.73</v>
      </c>
      <c r="F28" s="36" t="n">
        <v>0.015277</v>
      </c>
      <c r="G28" s="37" t="n">
        <v>3</v>
      </c>
      <c r="H28" s="37" t="n">
        <v>2</v>
      </c>
      <c r="I28" s="37" t="n">
        <v>46</v>
      </c>
      <c r="J28" s="37" t="n">
        <v>32</v>
      </c>
    </row>
    <row r="29" customFormat="false" ht="15" hidden="false" customHeight="false" outlineLevel="0" collapsed="false">
      <c r="A29" s="8" t="s">
        <v>142</v>
      </c>
      <c r="B29" s="8" t="s">
        <v>143</v>
      </c>
      <c r="C29" s="8" t="s">
        <v>137</v>
      </c>
      <c r="D29" s="34" t="n">
        <v>46081801</v>
      </c>
      <c r="E29" s="35" t="n">
        <v>2956.42</v>
      </c>
      <c r="F29" s="36" t="n">
        <v>0.01</v>
      </c>
      <c r="G29" s="37" t="n">
        <v>3</v>
      </c>
      <c r="H29" s="37" t="n">
        <v>3</v>
      </c>
      <c r="I29" s="37" t="n">
        <v>70</v>
      </c>
      <c r="J29" s="37" t="n">
        <v>51</v>
      </c>
    </row>
    <row r="30" customFormat="false" ht="15" hidden="false" customHeight="false" outlineLevel="0" collapsed="false">
      <c r="A30" s="8" t="s">
        <v>144</v>
      </c>
      <c r="B30" s="8" t="s">
        <v>145</v>
      </c>
      <c r="C30" s="8" t="s">
        <v>146</v>
      </c>
      <c r="D30" s="34" t="n">
        <v>11890517</v>
      </c>
      <c r="E30" s="35" t="n">
        <v>2761.75</v>
      </c>
      <c r="F30" s="36" t="n">
        <v>0.028832</v>
      </c>
      <c r="G30" s="37" t="n">
        <v>3</v>
      </c>
      <c r="H30" s="37" t="n">
        <v>3</v>
      </c>
      <c r="I30" s="37" t="n">
        <v>30</v>
      </c>
      <c r="J30" s="37" t="n">
        <v>24</v>
      </c>
    </row>
    <row r="31" customFormat="false" ht="15" hidden="false" customHeight="false" outlineLevel="0" collapsed="false">
      <c r="A31" s="38" t="s">
        <v>147</v>
      </c>
      <c r="B31" s="38" t="s">
        <v>148</v>
      </c>
      <c r="C31" s="38" t="s">
        <v>146</v>
      </c>
      <c r="D31" s="39" t="n">
        <v>11233263</v>
      </c>
      <c r="E31" s="40" t="n">
        <v>2839.14</v>
      </c>
      <c r="F31" s="41" t="n">
        <v>0.023548</v>
      </c>
      <c r="G31" s="42" t="n">
        <v>3</v>
      </c>
      <c r="H31" s="42" t="n">
        <v>3</v>
      </c>
      <c r="I31" s="42" t="n">
        <v>31</v>
      </c>
      <c r="J31" s="42" t="n">
        <v>23</v>
      </c>
    </row>
    <row r="32" customFormat="false" ht="15" hidden="false" customHeight="false" outlineLevel="0" collapsed="false">
      <c r="A32" s="8" t="s">
        <v>149</v>
      </c>
      <c r="B32" s="8" t="s">
        <v>150</v>
      </c>
      <c r="C32" s="8" t="s">
        <v>146</v>
      </c>
      <c r="D32" s="34" t="n">
        <v>8187029</v>
      </c>
      <c r="E32" s="35" t="n">
        <v>2809.45</v>
      </c>
      <c r="F32" s="36" t="n">
        <v>0.012798</v>
      </c>
      <c r="G32" s="37" t="n">
        <v>3</v>
      </c>
      <c r="H32" s="37" t="n">
        <v>3</v>
      </c>
      <c r="I32" s="37" t="n">
        <v>16</v>
      </c>
      <c r="J32" s="37" t="n">
        <v>13</v>
      </c>
    </row>
    <row r="33" customFormat="false" ht="15" hidden="false" customHeight="false" outlineLevel="0" collapsed="false">
      <c r="A33" s="43"/>
      <c r="B33" s="43" t="s">
        <v>151</v>
      </c>
      <c r="C33" s="43"/>
      <c r="D33" s="44" t="n">
        <f aca="false">SUM(D6:D32)</f>
        <v>213421037</v>
      </c>
      <c r="E33" s="43"/>
      <c r="F33" s="45" t="n">
        <f aca="false">SUM(F6:F32)</f>
        <v>1</v>
      </c>
      <c r="G33" s="43" t="n">
        <f aca="false">SUM(G6:G32)</f>
        <v>81</v>
      </c>
      <c r="H33" s="43" t="n">
        <f aca="false">SUM(H6:H32)</f>
        <v>65</v>
      </c>
      <c r="I33" s="43" t="n">
        <f aca="false">SUM(I6:I32)</f>
        <v>513</v>
      </c>
      <c r="J33" s="43" t="n">
        <f aca="false">SUM(J6:J32)</f>
        <v>382</v>
      </c>
    </row>
    <row r="35" customFormat="false" ht="15" hidden="false" customHeight="false" outlineLevel="0" collapsed="false">
      <c r="A35" s="46" t="s">
        <v>152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8"/>
  </cols>
  <sheetData>
    <row r="1" customFormat="false" ht="18.55" hidden="false" customHeight="false" outlineLevel="0" collapsed="false">
      <c r="A1" s="23" t="s">
        <v>153</v>
      </c>
    </row>
    <row r="2" customFormat="false" ht="42" hidden="false" customHeight="true" outlineLevel="0" collapsed="false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20" hidden="false" customHeight="true" outlineLevel="0" collapsed="false">
      <c r="A4" s="47"/>
      <c r="B4" s="47"/>
      <c r="C4" s="47"/>
      <c r="D4" s="48" t="s">
        <v>155</v>
      </c>
      <c r="E4" s="48" t="s">
        <v>155</v>
      </c>
      <c r="F4" s="48" t="s">
        <v>156</v>
      </c>
      <c r="G4" s="48" t="s">
        <v>157</v>
      </c>
      <c r="H4" s="48" t="s">
        <v>158</v>
      </c>
      <c r="I4" s="48" t="s">
        <v>159</v>
      </c>
      <c r="J4" s="48" t="s">
        <v>160</v>
      </c>
      <c r="K4" s="48" t="s">
        <v>161</v>
      </c>
      <c r="L4" s="48" t="s">
        <v>162</v>
      </c>
      <c r="M4" s="48" t="s">
        <v>163</v>
      </c>
      <c r="N4" s="48" t="s">
        <v>164</v>
      </c>
      <c r="O4" s="48" t="s">
        <v>165</v>
      </c>
      <c r="P4" s="48" t="s">
        <v>166</v>
      </c>
    </row>
    <row r="5" customFormat="false" ht="42" hidden="false" customHeight="true" outlineLevel="0" collapsed="false">
      <c r="A5" s="24" t="s">
        <v>82</v>
      </c>
      <c r="B5" s="24" t="s">
        <v>83</v>
      </c>
      <c r="C5" s="24" t="s">
        <v>84</v>
      </c>
      <c r="D5" s="24" t="s">
        <v>167</v>
      </c>
      <c r="E5" s="24" t="s">
        <v>168</v>
      </c>
      <c r="F5" s="24" t="s">
        <v>169</v>
      </c>
      <c r="G5" s="24" t="s">
        <v>170</v>
      </c>
      <c r="H5" s="24" t="s">
        <v>171</v>
      </c>
      <c r="I5" s="24" t="s">
        <v>172</v>
      </c>
      <c r="J5" s="24" t="s">
        <v>173</v>
      </c>
      <c r="K5" s="24" t="s">
        <v>174</v>
      </c>
      <c r="L5" s="24" t="s">
        <v>175</v>
      </c>
      <c r="M5" s="24" t="s">
        <v>176</v>
      </c>
      <c r="N5" s="24" t="s">
        <v>177</v>
      </c>
      <c r="O5" s="24" t="s">
        <v>178</v>
      </c>
      <c r="P5" s="24" t="s">
        <v>179</v>
      </c>
    </row>
    <row r="6" customFormat="false" ht="15" hidden="false" customHeight="false" outlineLevel="0" collapsed="false">
      <c r="A6" s="49" t="str">
        <f aca="false">Dados!A6</f>
        <v>AC</v>
      </c>
      <c r="B6" s="49" t="str">
        <f aca="false">Dados!B6</f>
        <v>Acre</v>
      </c>
      <c r="C6" s="49" t="str">
        <f aca="false">Dados!C6</f>
        <v>Norte</v>
      </c>
      <c r="D6" s="50" t="n">
        <f aca="false">Dados!D6</f>
        <v>884372</v>
      </c>
      <c r="E6" s="51" t="n">
        <f aca="false">Dados!E6</f>
        <v>1391.53</v>
      </c>
      <c r="F6" s="52" t="n">
        <f aca="false">D6/D$33</f>
        <v>0.00414379019252915</v>
      </c>
      <c r="G6" s="52" t="n">
        <f aca="false">MIN(MAX(F6,PISO_POP),TETO_POP)</f>
        <v>0.012</v>
      </c>
      <c r="H6" s="52" t="n">
        <f aca="false">0.5*G6/G$33</f>
        <v>0.00708102575793742</v>
      </c>
      <c r="I6" s="53" t="n">
        <f aca="false">1/E6</f>
        <v>0.000718633446637874</v>
      </c>
      <c r="J6" s="52" t="n">
        <f aca="false">0.5*I6/I$33</f>
        <v>0.0250602364261384</v>
      </c>
      <c r="K6" s="54" t="n">
        <f aca="false">MIN(MAX((E6-VR*RDPC_NAC)/(VR*RDPC_NAC),0),1)</f>
        <v>0</v>
      </c>
      <c r="L6" s="52" t="n">
        <f aca="false">(H6+J6)*(1-K6)</f>
        <v>0.0321412621840759</v>
      </c>
      <c r="M6" s="52" t="n">
        <f aca="false">MAX(L6,COEF_MIN)</f>
        <v>0.0321412621840759</v>
      </c>
      <c r="N6" s="52" t="n">
        <f aca="false">M6/M$33</f>
        <v>0.043243535001017</v>
      </c>
      <c r="O6" s="55" t="n">
        <f aca="false">Dados!F6</f>
        <v>0.03421</v>
      </c>
      <c r="P6" s="52" t="n">
        <f aca="false">PESO_BASE*O6+PESO_EXC*N6</f>
        <v>0.0374232283998617</v>
      </c>
    </row>
    <row r="7" customFormat="false" ht="15" hidden="false" customHeight="false" outlineLevel="0" collapsed="false">
      <c r="A7" s="49" t="str">
        <f aca="false">Dados!A7</f>
        <v>AP</v>
      </c>
      <c r="B7" s="49" t="str">
        <f aca="false">Dados!B7</f>
        <v>Amapá</v>
      </c>
      <c r="C7" s="49" t="str">
        <f aca="false">Dados!C7</f>
        <v>Norte</v>
      </c>
      <c r="D7" s="50" t="n">
        <f aca="false">Dados!D7</f>
        <v>806517</v>
      </c>
      <c r="E7" s="51" t="n">
        <f aca="false">Dados!E7</f>
        <v>1697.24</v>
      </c>
      <c r="F7" s="52" t="n">
        <f aca="false">D7/D$33</f>
        <v>0.00377899485138384</v>
      </c>
      <c r="G7" s="52" t="n">
        <f aca="false">MIN(MAX(F7,PISO_POP),TETO_POP)</f>
        <v>0.012</v>
      </c>
      <c r="H7" s="52" t="n">
        <f aca="false">0.5*G7/G$33</f>
        <v>0.00708102575793742</v>
      </c>
      <c r="I7" s="53" t="n">
        <f aca="false">1/E7</f>
        <v>0.000589191864438736</v>
      </c>
      <c r="J7" s="52" t="n">
        <f aca="false">0.5*I7/I$33</f>
        <v>0.0205463404079944</v>
      </c>
      <c r="K7" s="54" t="n">
        <f aca="false">MIN(MAX((E7-VR*RDPC_NAC)/(VR*RDPC_NAC),0),1)</f>
        <v>0.0178800095764348</v>
      </c>
      <c r="L7" s="52" t="n">
        <f aca="false">(H7+J7)*(1-K7)</f>
        <v>0.0271333885943133</v>
      </c>
      <c r="M7" s="52" t="n">
        <f aca="false">MAX(L7,COEF_MIN)</f>
        <v>0.0271333885943133</v>
      </c>
      <c r="N7" s="52" t="n">
        <f aca="false">M7/M$33</f>
        <v>0.0365058357899743</v>
      </c>
      <c r="O7" s="55" t="n">
        <f aca="false">Dados!F7</f>
        <v>0.03412</v>
      </c>
      <c r="P7" s="52" t="n">
        <f aca="false">PESO_BASE*O7+PESO_EXC*N7</f>
        <v>0.0349686417904938</v>
      </c>
    </row>
    <row r="8" customFormat="false" ht="15" hidden="false" customHeight="false" outlineLevel="0" collapsed="false">
      <c r="A8" s="49" t="str">
        <f aca="false">Dados!A8</f>
        <v>AM</v>
      </c>
      <c r="B8" s="49" t="str">
        <f aca="false">Dados!B8</f>
        <v>Amazonas</v>
      </c>
      <c r="C8" s="49" t="str">
        <f aca="false">Dados!C8</f>
        <v>Norte</v>
      </c>
      <c r="D8" s="50" t="n">
        <f aca="false">Dados!D8</f>
        <v>4321616</v>
      </c>
      <c r="E8" s="51" t="n">
        <f aca="false">Dados!E8</f>
        <v>1484.39</v>
      </c>
      <c r="F8" s="52" t="n">
        <f aca="false">D8/D$33</f>
        <v>0.0202492503117207</v>
      </c>
      <c r="G8" s="52" t="n">
        <f aca="false">MIN(MAX(F8,PISO_POP),TETO_POP)</f>
        <v>0.0202492503117207</v>
      </c>
      <c r="H8" s="52" t="n">
        <f aca="false">0.5*G8/G$33</f>
        <v>0.0119487885863514</v>
      </c>
      <c r="I8" s="53" t="n">
        <f aca="false">1/E8</f>
        <v>0.000673677402838877</v>
      </c>
      <c r="J8" s="52" t="n">
        <f aca="false">0.5*I8/I$33</f>
        <v>0.0234925260841588</v>
      </c>
      <c r="K8" s="54" t="n">
        <f aca="false">MIN(MAX((E8-VR*RDPC_NAC)/(VR*RDPC_NAC),0),1)</f>
        <v>0</v>
      </c>
      <c r="L8" s="52" t="n">
        <f aca="false">(H8+J8)*(1-K8)</f>
        <v>0.0354413146705101</v>
      </c>
      <c r="M8" s="52" t="n">
        <f aca="false">MAX(L8,COEF_MIN)</f>
        <v>0.0354413146705101</v>
      </c>
      <c r="N8" s="52" t="n">
        <f aca="false">M8/M$33</f>
        <v>0.0476834955223252</v>
      </c>
      <c r="O8" s="55" t="n">
        <f aca="false">Dados!F8</f>
        <v>0.027904</v>
      </c>
      <c r="P8" s="52" t="n">
        <f aca="false">PESO_BASE*O8+PESO_EXC*N8</f>
        <v>0.0349395665572911</v>
      </c>
    </row>
    <row r="9" customFormat="false" ht="15" hidden="false" customHeight="false" outlineLevel="0" collapsed="false">
      <c r="A9" s="49" t="str">
        <f aca="false">Dados!A9</f>
        <v>PA</v>
      </c>
      <c r="B9" s="49" t="str">
        <f aca="false">Dados!B9</f>
        <v>Pará</v>
      </c>
      <c r="C9" s="49" t="str">
        <f aca="false">Dados!C9</f>
        <v>Norte</v>
      </c>
      <c r="D9" s="50" t="n">
        <f aca="false">Dados!D9</f>
        <v>8711196</v>
      </c>
      <c r="E9" s="51" t="n">
        <f aca="false">Dados!E9</f>
        <v>1420</v>
      </c>
      <c r="F9" s="52" t="n">
        <f aca="false">D9/D$33</f>
        <v>0.040816950955027</v>
      </c>
      <c r="G9" s="52" t="n">
        <f aca="false">MIN(MAX(F9,PISO_POP),TETO_POP)</f>
        <v>0.040816950955027</v>
      </c>
      <c r="H9" s="52" t="n">
        <f aca="false">0.5*G9/G$33</f>
        <v>0.0240854900894179</v>
      </c>
      <c r="I9" s="53" t="n">
        <f aca="false">1/E9</f>
        <v>0.000704225352112676</v>
      </c>
      <c r="J9" s="52" t="n">
        <f aca="false">0.5*I9/I$33</f>
        <v>0.0245577963338482</v>
      </c>
      <c r="K9" s="54" t="n">
        <f aca="false">MIN(MAX((E9-VR*RDPC_NAC)/(VR*RDPC_NAC),0),1)</f>
        <v>0</v>
      </c>
      <c r="L9" s="52" t="n">
        <f aca="false">(H9+J9)*(1-K9)</f>
        <v>0.0486432864232661</v>
      </c>
      <c r="M9" s="52" t="n">
        <f aca="false">MAX(L9,COEF_MIN)</f>
        <v>0.0486432864232661</v>
      </c>
      <c r="N9" s="52" t="n">
        <f aca="false">M9/M$33</f>
        <v>0.0654457079800422</v>
      </c>
      <c r="O9" s="55" t="n">
        <f aca="false">Dados!F9</f>
        <v>0.06112</v>
      </c>
      <c r="P9" s="52" t="n">
        <f aca="false">PESO_BASE*O9+PESO_EXC*N9</f>
        <v>0.062658654328501</v>
      </c>
    </row>
    <row r="10" customFormat="false" ht="15" hidden="false" customHeight="false" outlineLevel="0" collapsed="false">
      <c r="A10" s="49" t="str">
        <f aca="false">Dados!A10</f>
        <v>RO</v>
      </c>
      <c r="B10" s="49" t="str">
        <f aca="false">Dados!B10</f>
        <v>Rondônia</v>
      </c>
      <c r="C10" s="49" t="str">
        <f aca="false">Dados!C10</f>
        <v>Norte</v>
      </c>
      <c r="D10" s="50" t="n">
        <f aca="false">Dados!D10</f>
        <v>1751950</v>
      </c>
      <c r="E10" s="51" t="n">
        <f aca="false">Dados!E10</f>
        <v>1990.95</v>
      </c>
      <c r="F10" s="52" t="n">
        <f aca="false">D10/D$33</f>
        <v>0.00820889086018264</v>
      </c>
      <c r="G10" s="52" t="n">
        <f aca="false">MIN(MAX(F10,PISO_POP),TETO_POP)</f>
        <v>0.012</v>
      </c>
      <c r="H10" s="52" t="n">
        <f aca="false">0.5*G10/G$33</f>
        <v>0.00708102575793742</v>
      </c>
      <c r="I10" s="53" t="n">
        <f aca="false">1/E10</f>
        <v>0.00050227278434918</v>
      </c>
      <c r="J10" s="52" t="n">
        <f aca="false">0.5*I10/I$33</f>
        <v>0.0175152920937565</v>
      </c>
      <c r="K10" s="54" t="n">
        <f aca="false">MIN(MAX((E10-VR*RDPC_NAC)/(VR*RDPC_NAC),0),1)</f>
        <v>0.19402571531793</v>
      </c>
      <c r="L10" s="52" t="n">
        <f aca="false">(H10+J10)*(1-K10)</f>
        <v>0.0198239996863318</v>
      </c>
      <c r="M10" s="52" t="n">
        <f aca="false">MAX(L10,COEF_MIN)</f>
        <v>0.0198239996863318</v>
      </c>
      <c r="N10" s="52" t="n">
        <f aca="false">M10/M$33</f>
        <v>0.0266716291160701</v>
      </c>
      <c r="O10" s="55" t="n">
        <f aca="false">Dados!F10</f>
        <v>0.028156</v>
      </c>
      <c r="P10" s="52" t="n">
        <f aca="false">PESO_BASE*O10+PESO_EXC*N10</f>
        <v>0.0276280092765861</v>
      </c>
    </row>
    <row r="11" customFormat="false" ht="15" hidden="false" customHeight="false" outlineLevel="0" collapsed="false">
      <c r="A11" s="49" t="str">
        <f aca="false">Dados!A11</f>
        <v>RR</v>
      </c>
      <c r="B11" s="49" t="str">
        <f aca="false">Dados!B11</f>
        <v>Roraima</v>
      </c>
      <c r="C11" s="49" t="str">
        <f aca="false">Dados!C11</f>
        <v>Norte</v>
      </c>
      <c r="D11" s="50" t="n">
        <f aca="false">Dados!D11</f>
        <v>738772</v>
      </c>
      <c r="E11" s="51" t="n">
        <f aca="false">Dados!E11</f>
        <v>1764</v>
      </c>
      <c r="F11" s="52" t="n">
        <f aca="false">D11/D$33</f>
        <v>0.00346157066044056</v>
      </c>
      <c r="G11" s="52" t="n">
        <f aca="false">MIN(MAX(F11,PISO_POP),TETO_POP)</f>
        <v>0.012</v>
      </c>
      <c r="H11" s="52" t="n">
        <f aca="false">0.5*G11/G$33</f>
        <v>0.00708102575793742</v>
      </c>
      <c r="I11" s="53" t="n">
        <f aca="false">1/E11</f>
        <v>0.000566893424036281</v>
      </c>
      <c r="J11" s="52" t="n">
        <f aca="false">0.5*I11/I$33</f>
        <v>0.0197687476156828</v>
      </c>
      <c r="K11" s="54" t="n">
        <f aca="false">MIN(MAX((E11-VR*RDPC_NAC)/(VR*RDPC_NAC),0),1)</f>
        <v>0.0579177587688429</v>
      </c>
      <c r="L11" s="52" t="n">
        <f aca="false">(H11+J11)*(1-K11)</f>
        <v>0.0252946946763688</v>
      </c>
      <c r="M11" s="52" t="n">
        <f aca="false">MAX(L11,COEF_MIN)</f>
        <v>0.0252946946763688</v>
      </c>
      <c r="N11" s="52" t="n">
        <f aca="false">M11/M$33</f>
        <v>0.0340320180431347</v>
      </c>
      <c r="O11" s="55" t="n">
        <f aca="false">Dados!F11</f>
        <v>0.024807</v>
      </c>
      <c r="P11" s="52" t="n">
        <f aca="false">PESO_BASE*O11+PESO_EXC*N11</f>
        <v>0.028088338917943</v>
      </c>
    </row>
    <row r="12" customFormat="false" ht="15" hidden="false" customHeight="false" outlineLevel="0" collapsed="false">
      <c r="A12" s="49" t="str">
        <f aca="false">Dados!A12</f>
        <v>TO</v>
      </c>
      <c r="B12" s="49" t="str">
        <f aca="false">Dados!B12</f>
        <v>Tocantins</v>
      </c>
      <c r="C12" s="49" t="str">
        <f aca="false">Dados!C12</f>
        <v>Norte</v>
      </c>
      <c r="D12" s="50" t="n">
        <f aca="false">Dados!D12</f>
        <v>1586859</v>
      </c>
      <c r="E12" s="51" t="n">
        <f aca="false">Dados!E12</f>
        <v>2036.09</v>
      </c>
      <c r="F12" s="52" t="n">
        <f aca="false">D12/D$33</f>
        <v>0.00743534481092415</v>
      </c>
      <c r="G12" s="52" t="n">
        <f aca="false">MIN(MAX(F12,PISO_POP),TETO_POP)</f>
        <v>0.012</v>
      </c>
      <c r="H12" s="52" t="n">
        <f aca="false">0.5*G12/G$33</f>
        <v>0.00708102575793742</v>
      </c>
      <c r="I12" s="53" t="n">
        <f aca="false">1/E12</f>
        <v>0.000491137425162935</v>
      </c>
      <c r="J12" s="52" t="n">
        <f aca="false">0.5*I12/I$33</f>
        <v>0.0171269790598964</v>
      </c>
      <c r="K12" s="54" t="n">
        <f aca="false">MIN(MAX((E12-VR*RDPC_NAC)/(VR*RDPC_NAC),0),1)</f>
        <v>0.221097374972593</v>
      </c>
      <c r="L12" s="52" t="n">
        <f aca="false">(H12+J12)*(1-K12)</f>
        <v>0.0188556784992869</v>
      </c>
      <c r="M12" s="52" t="n">
        <f aca="false">MAX(L12,COEF_MIN)</f>
        <v>0.0188556784992869</v>
      </c>
      <c r="N12" s="52" t="n">
        <f aca="false">M12/M$33</f>
        <v>0.0253688292787647</v>
      </c>
      <c r="O12" s="55" t="n">
        <f aca="false">Dados!F12</f>
        <v>0.0434</v>
      </c>
      <c r="P12" s="52" t="n">
        <f aca="false">PESO_BASE*O12+PESO_EXC*N12</f>
        <v>0.0369863125744566</v>
      </c>
    </row>
    <row r="13" customFormat="false" ht="15" hidden="false" customHeight="false" outlineLevel="0" collapsed="false">
      <c r="A13" s="49" t="str">
        <f aca="false">Dados!A13</f>
        <v>AL</v>
      </c>
      <c r="B13" s="49" t="str">
        <f aca="false">Dados!B13</f>
        <v>Alagoas</v>
      </c>
      <c r="C13" s="49" t="str">
        <f aca="false">Dados!C13</f>
        <v>Nordeste</v>
      </c>
      <c r="D13" s="50" t="n">
        <f aca="false">Dados!D13</f>
        <v>3220848</v>
      </c>
      <c r="E13" s="51" t="n">
        <f aca="false">Dados!E13</f>
        <v>1421.6</v>
      </c>
      <c r="F13" s="52" t="n">
        <f aca="false">D13/D$33</f>
        <v>0.0150915207107723</v>
      </c>
      <c r="G13" s="52" t="n">
        <f aca="false">MIN(MAX(F13,PISO_POP),TETO_POP)</f>
        <v>0.0150915207107723</v>
      </c>
      <c r="H13" s="52" t="n">
        <f aca="false">0.5*G13/G$33</f>
        <v>0.00890528723995206</v>
      </c>
      <c r="I13" s="53" t="n">
        <f aca="false">1/E13</f>
        <v>0.000703432751828925</v>
      </c>
      <c r="J13" s="52" t="n">
        <f aca="false">0.5*I13/I$33</f>
        <v>0.0245301567206418</v>
      </c>
      <c r="K13" s="54" t="n">
        <f aca="false">MIN(MAX((E13-VR*RDPC_NAC)/(VR*RDPC_NAC),0),1)</f>
        <v>0</v>
      </c>
      <c r="L13" s="52" t="n">
        <f aca="false">(H13+J13)*(1-K13)</f>
        <v>0.0334354439605939</v>
      </c>
      <c r="M13" s="52" t="n">
        <f aca="false">MAX(L13,COEF_MIN)</f>
        <v>0.0334354439605939</v>
      </c>
      <c r="N13" s="52" t="n">
        <f aca="false">M13/M$33</f>
        <v>0.0449847545782078</v>
      </c>
      <c r="O13" s="55" t="n">
        <f aca="false">Dados!F13</f>
        <v>0.041601</v>
      </c>
      <c r="P13" s="52" t="n">
        <f aca="false">PESO_BASE*O13+PESO_EXC*N13</f>
        <v>0.0428046015034685</v>
      </c>
    </row>
    <row r="14" customFormat="false" ht="15" hidden="false" customHeight="false" outlineLevel="0" collapsed="false">
      <c r="A14" s="49" t="str">
        <f aca="false">Dados!A14</f>
        <v>BA</v>
      </c>
      <c r="B14" s="49" t="str">
        <f aca="false">Dados!B14</f>
        <v>Bahia</v>
      </c>
      <c r="C14" s="49" t="str">
        <f aca="false">Dados!C14</f>
        <v>Nordeste</v>
      </c>
      <c r="D14" s="50" t="n">
        <f aca="false">Dados!D14</f>
        <v>14870907</v>
      </c>
      <c r="E14" s="51" t="n">
        <f aca="false">Dados!E14</f>
        <v>1465.2</v>
      </c>
      <c r="F14" s="52" t="n">
        <f aca="false">D14/D$33</f>
        <v>0.0696787308741265</v>
      </c>
      <c r="G14" s="52" t="n">
        <f aca="false">MIN(MAX(F14,PISO_POP),TETO_POP)</f>
        <v>0.0696787308741265</v>
      </c>
      <c r="H14" s="52" t="n">
        <f aca="false">0.5*G14/G$33</f>
        <v>0.0411164073416733</v>
      </c>
      <c r="I14" s="53" t="n">
        <f aca="false">1/E14</f>
        <v>0.000682500682500682</v>
      </c>
      <c r="J14" s="52" t="n">
        <f aca="false">0.5*I14/I$33</f>
        <v>0.0238002121171611</v>
      </c>
      <c r="K14" s="54" t="n">
        <f aca="false">MIN(MAX((E14-VR*RDPC_NAC)/(VR*RDPC_NAC),0),1)</f>
        <v>0</v>
      </c>
      <c r="L14" s="52" t="n">
        <f aca="false">(H14+J14)*(1-K14)</f>
        <v>0.0649166194588344</v>
      </c>
      <c r="M14" s="52" t="n">
        <f aca="false">MAX(L14,COEF_MIN)</f>
        <v>0.0649166194588344</v>
      </c>
      <c r="N14" s="52" t="n">
        <f aca="false">M14/M$33</f>
        <v>0.087340194969276</v>
      </c>
      <c r="O14" s="55" t="n">
        <f aca="false">Dados!F14</f>
        <v>0.093962</v>
      </c>
      <c r="P14" s="52" t="n">
        <f aca="false">PESO_BASE*O14+PESO_EXC*N14</f>
        <v>0.0916066239505715</v>
      </c>
    </row>
    <row r="15" customFormat="false" ht="15" hidden="false" customHeight="false" outlineLevel="0" collapsed="false">
      <c r="A15" s="49" t="str">
        <f aca="false">Dados!A15</f>
        <v>CE</v>
      </c>
      <c r="B15" s="49" t="str">
        <f aca="false">Dados!B15</f>
        <v>Ceará</v>
      </c>
      <c r="C15" s="49" t="str">
        <f aca="false">Dados!C15</f>
        <v>Nordeste</v>
      </c>
      <c r="D15" s="50" t="n">
        <f aca="false">Dados!D15</f>
        <v>9268836</v>
      </c>
      <c r="E15" s="51" t="n">
        <f aca="false">Dados!E15</f>
        <v>1389.77</v>
      </c>
      <c r="F15" s="52" t="n">
        <f aca="false">D15/D$33</f>
        <v>0.0434298142783366</v>
      </c>
      <c r="G15" s="52" t="n">
        <f aca="false">MIN(MAX(F15,PISO_POP),TETO_POP)</f>
        <v>0.0434298142783366</v>
      </c>
      <c r="H15" s="52" t="n">
        <f aca="false">0.5*G15/G$33</f>
        <v>0.0256273027972783</v>
      </c>
      <c r="I15" s="53" t="n">
        <f aca="false">1/E15</f>
        <v>0.000719543521589903</v>
      </c>
      <c r="J15" s="52" t="n">
        <f aca="false">0.5*I15/I$33</f>
        <v>0.0250919726242935</v>
      </c>
      <c r="K15" s="54" t="n">
        <f aca="false">MIN(MAX((E15-VR*RDPC_NAC)/(VR*RDPC_NAC),0),1)</f>
        <v>0</v>
      </c>
      <c r="L15" s="52" t="n">
        <f aca="false">(H15+J15)*(1-K15)</f>
        <v>0.0507192754215718</v>
      </c>
      <c r="M15" s="52" t="n">
        <f aca="false">MAX(L15,COEF_MIN)</f>
        <v>0.0507192754215718</v>
      </c>
      <c r="N15" s="52" t="n">
        <f aca="false">M15/M$33</f>
        <v>0.0682387875546968</v>
      </c>
      <c r="O15" s="55" t="n">
        <f aca="false">Dados!F15</f>
        <v>0.073369</v>
      </c>
      <c r="P15" s="52" t="n">
        <f aca="false">PESO_BASE*O15+PESO_EXC*N15</f>
        <v>0.0715441834332057</v>
      </c>
    </row>
    <row r="16" customFormat="false" ht="15" hidden="false" customHeight="false" outlineLevel="0" collapsed="false">
      <c r="A16" s="49" t="str">
        <f aca="false">Dados!A16</f>
        <v>MA</v>
      </c>
      <c r="B16" s="49" t="str">
        <f aca="false">Dados!B16</f>
        <v>Maranhão</v>
      </c>
      <c r="C16" s="49" t="str">
        <f aca="false">Dados!C16</f>
        <v>Nordeste</v>
      </c>
      <c r="D16" s="50" t="n">
        <f aca="false">Dados!D16</f>
        <v>7018211</v>
      </c>
      <c r="E16" s="51" t="n">
        <f aca="false">Dados!E16</f>
        <v>1219.42</v>
      </c>
      <c r="F16" s="52" t="n">
        <f aca="false">D16/D$33</f>
        <v>0.0328843449486191</v>
      </c>
      <c r="G16" s="52" t="n">
        <f aca="false">MIN(MAX(F16,PISO_POP),TETO_POP)</f>
        <v>0.0328843449486191</v>
      </c>
      <c r="H16" s="52" t="n">
        <f aca="false">0.5*G16/G$33</f>
        <v>0.0194045744678393</v>
      </c>
      <c r="I16" s="53" t="n">
        <f aca="false">1/E16</f>
        <v>0.00082006199668695</v>
      </c>
      <c r="J16" s="52" t="n">
        <f aca="false">0.5*I16/I$33</f>
        <v>0.0285972600039891</v>
      </c>
      <c r="K16" s="54" t="n">
        <f aca="false">MIN(MAX((E16-VR*RDPC_NAC)/(VR*RDPC_NAC),0),1)</f>
        <v>0</v>
      </c>
      <c r="L16" s="52" t="n">
        <f aca="false">(H16+J16)*(1-K16)</f>
        <v>0.0480018344718284</v>
      </c>
      <c r="M16" s="52" t="n">
        <f aca="false">MAX(L16,COEF_MIN)</f>
        <v>0.0480018344718284</v>
      </c>
      <c r="N16" s="52" t="n">
        <f aca="false">M16/M$33</f>
        <v>0.0645826849364976</v>
      </c>
      <c r="O16" s="55" t="n">
        <f aca="false">Dados!F16</f>
        <v>0.072182</v>
      </c>
      <c r="P16" s="52" t="n">
        <f aca="false">PESO_BASE*O16+PESO_EXC*N16</f>
        <v>0.0694789236319122</v>
      </c>
    </row>
    <row r="17" customFormat="false" ht="15" hidden="false" customHeight="false" outlineLevel="0" collapsed="false">
      <c r="A17" s="49" t="str">
        <f aca="false">Dados!A17</f>
        <v>PB</v>
      </c>
      <c r="B17" s="49" t="str">
        <f aca="false">Dados!B17</f>
        <v>Paraíba</v>
      </c>
      <c r="C17" s="49" t="str">
        <f aca="false">Dados!C17</f>
        <v>Nordeste</v>
      </c>
      <c r="D17" s="50" t="n">
        <f aca="false">Dados!D17</f>
        <v>4164468</v>
      </c>
      <c r="E17" s="51" t="n">
        <f aca="false">Dados!E17</f>
        <v>1543.07</v>
      </c>
      <c r="F17" s="52" t="n">
        <f aca="false">D17/D$33</f>
        <v>0.019512921774436</v>
      </c>
      <c r="G17" s="52" t="n">
        <f aca="false">MIN(MAX(F17,PISO_POP),TETO_POP)</f>
        <v>0.019512921774436</v>
      </c>
      <c r="H17" s="52" t="n">
        <f aca="false">0.5*G17/G$33</f>
        <v>0.0115142918081166</v>
      </c>
      <c r="I17" s="53" t="n">
        <f aca="false">1/E17</f>
        <v>0.000648058740044198</v>
      </c>
      <c r="J17" s="52" t="n">
        <f aca="false">0.5*I17/I$33</f>
        <v>0.0225991502615335</v>
      </c>
      <c r="K17" s="54" t="n">
        <f aca="false">MIN(MAX((E17-VR*RDPC_NAC)/(VR*RDPC_NAC),0),1)</f>
        <v>0</v>
      </c>
      <c r="L17" s="52" t="n">
        <f aca="false">(H17+J17)*(1-K17)</f>
        <v>0.03411344206965</v>
      </c>
      <c r="M17" s="52" t="n">
        <f aca="false">MAX(L17,COEF_MIN)</f>
        <v>0.03411344206965</v>
      </c>
      <c r="N17" s="52" t="n">
        <f aca="false">M17/M$33</f>
        <v>0.0458969475963812</v>
      </c>
      <c r="O17" s="55" t="n">
        <f aca="false">Dados!F17</f>
        <v>0.047889</v>
      </c>
      <c r="P17" s="52" t="n">
        <f aca="false">PESO_BASE*O17+PESO_EXC*N17</f>
        <v>0.0471804269600328</v>
      </c>
    </row>
    <row r="18" customFormat="false" ht="15" hidden="false" customHeight="false" outlineLevel="0" collapsed="false">
      <c r="A18" s="49" t="str">
        <f aca="false">Dados!A18</f>
        <v>PE</v>
      </c>
      <c r="B18" s="49" t="str">
        <f aca="false">Dados!B18</f>
        <v>Pernambuco</v>
      </c>
      <c r="C18" s="49" t="str">
        <f aca="false">Dados!C18</f>
        <v>Nordeste</v>
      </c>
      <c r="D18" s="50" t="n">
        <f aca="false">Dados!D18</f>
        <v>9562007</v>
      </c>
      <c r="E18" s="51" t="n">
        <f aca="false">Dados!E18</f>
        <v>1600.24</v>
      </c>
      <c r="F18" s="52" t="n">
        <f aca="false">D18/D$33</f>
        <v>0.044803488608295</v>
      </c>
      <c r="G18" s="52" t="n">
        <f aca="false">MIN(MAX(F18,PISO_POP),TETO_POP)</f>
        <v>0.044803488608295</v>
      </c>
      <c r="H18" s="52" t="n">
        <f aca="false">0.5*G18/G$33</f>
        <v>0.0264378880733994</v>
      </c>
      <c r="I18" s="53" t="n">
        <f aca="false">1/E18</f>
        <v>0.000624906264060391</v>
      </c>
      <c r="J18" s="52" t="n">
        <f aca="false">0.5*I18/I$33</f>
        <v>0.0217917754799683</v>
      </c>
      <c r="K18" s="54" t="n">
        <f aca="false">MIN(MAX((E18-VR*RDPC_NAC)/(VR*RDPC_NAC),0),1)</f>
        <v>0</v>
      </c>
      <c r="L18" s="52" t="n">
        <f aca="false">(H18+J18)*(1-K18)</f>
        <v>0.0482296635533676</v>
      </c>
      <c r="M18" s="52" t="n">
        <f aca="false">MAX(L18,COEF_MIN)</f>
        <v>0.0482296635533676</v>
      </c>
      <c r="N18" s="52" t="n">
        <f aca="false">M18/M$33</f>
        <v>0.0648892110089763</v>
      </c>
      <c r="O18" s="55" t="n">
        <f aca="false">Dados!F18</f>
        <v>0.069002</v>
      </c>
      <c r="P18" s="52" t="n">
        <f aca="false">PESO_BASE*O18+PESO_EXC*N18</f>
        <v>0.0675390809558929</v>
      </c>
    </row>
    <row r="19" customFormat="false" ht="15" hidden="false" customHeight="false" outlineLevel="0" collapsed="false">
      <c r="A19" s="49" t="str">
        <f aca="false">Dados!A19</f>
        <v>PI</v>
      </c>
      <c r="B19" s="49" t="str">
        <f aca="false">Dados!B19</f>
        <v>Piauí</v>
      </c>
      <c r="C19" s="49" t="str">
        <f aca="false">Dados!C19</f>
        <v>Nordeste</v>
      </c>
      <c r="D19" s="50" t="n">
        <f aca="false">Dados!D19</f>
        <v>3384547</v>
      </c>
      <c r="E19" s="51" t="n">
        <f aca="false">Dados!E19</f>
        <v>1546.21</v>
      </c>
      <c r="F19" s="52" t="n">
        <f aca="false">D19/D$33</f>
        <v>0.0158585444414273</v>
      </c>
      <c r="G19" s="52" t="n">
        <f aca="false">MIN(MAX(F19,PISO_POP),TETO_POP)</f>
        <v>0.0158585444414273</v>
      </c>
      <c r="H19" s="52" t="n">
        <f aca="false">0.5*G19/G$33</f>
        <v>0.00935789680609517</v>
      </c>
      <c r="I19" s="53" t="n">
        <f aca="false">1/E19</f>
        <v>0.000646742680489714</v>
      </c>
      <c r="J19" s="52" t="n">
        <f aca="false">0.5*I19/I$33</f>
        <v>0.0225532565395803</v>
      </c>
      <c r="K19" s="54" t="n">
        <f aca="false">MIN(MAX((E19-VR*RDPC_NAC)/(VR*RDPC_NAC),0),1)</f>
        <v>0</v>
      </c>
      <c r="L19" s="52" t="n">
        <f aca="false">(H19+J19)*(1-K19)</f>
        <v>0.0319111533456754</v>
      </c>
      <c r="M19" s="52" t="n">
        <f aca="false">MAX(L19,COEF_MIN)</f>
        <v>0.0319111533456754</v>
      </c>
      <c r="N19" s="52" t="n">
        <f aca="false">M19/M$33</f>
        <v>0.0429339416953645</v>
      </c>
      <c r="O19" s="55" t="n">
        <f aca="false">Dados!F19</f>
        <v>0.043214</v>
      </c>
      <c r="P19" s="52" t="n">
        <f aca="false">PESO_BASE*O19+PESO_EXC*N19</f>
        <v>0.0431143832610412</v>
      </c>
    </row>
    <row r="20" customFormat="false" ht="15" hidden="false" customHeight="false" outlineLevel="0" collapsed="false">
      <c r="A20" s="49" t="str">
        <f aca="false">Dados!A20</f>
        <v>RN</v>
      </c>
      <c r="B20" s="49" t="str">
        <f aca="false">Dados!B20</f>
        <v>Rio Grande do Norte</v>
      </c>
      <c r="C20" s="49" t="str">
        <f aca="false">Dados!C20</f>
        <v>Nordeste</v>
      </c>
      <c r="D20" s="50" t="n">
        <f aca="false">Dados!D20</f>
        <v>3455236</v>
      </c>
      <c r="E20" s="51" t="n">
        <f aca="false">Dados!E20</f>
        <v>1819.11</v>
      </c>
      <c r="F20" s="52" t="n">
        <f aca="false">D20/D$33</f>
        <v>0.0161897629613711</v>
      </c>
      <c r="G20" s="52" t="n">
        <f aca="false">MIN(MAX(F20,PISO_POP),TETO_POP)</f>
        <v>0.0161897629613711</v>
      </c>
      <c r="H20" s="52" t="n">
        <f aca="false">0.5*G20/G$33</f>
        <v>0.00955334404536413</v>
      </c>
      <c r="I20" s="53" t="n">
        <f aca="false">1/E20</f>
        <v>0.000549719368262502</v>
      </c>
      <c r="J20" s="52" t="n">
        <f aca="false">0.5*I20/I$33</f>
        <v>0.0191698527269183</v>
      </c>
      <c r="K20" s="54" t="n">
        <f aca="false">MIN(MAX((E20-VR*RDPC_NAC)/(VR*RDPC_NAC),0),1)</f>
        <v>0.09096869283106</v>
      </c>
      <c r="L20" s="52" t="n">
        <f aca="false">(H20+J20)*(1-K20)</f>
        <v>0.0261102851079786</v>
      </c>
      <c r="M20" s="52" t="n">
        <f aca="false">MAX(L20,COEF_MIN)</f>
        <v>0.0261102851079786</v>
      </c>
      <c r="N20" s="52" t="n">
        <f aca="false">M20/M$33</f>
        <v>0.0351293306867336</v>
      </c>
      <c r="O20" s="55" t="n">
        <f aca="false">Dados!F20</f>
        <v>0.041779</v>
      </c>
      <c r="P20" s="52" t="n">
        <f aca="false">PESO_BASE*O20+PESO_EXC*N20</f>
        <v>0.0394137126252711</v>
      </c>
    </row>
    <row r="21" customFormat="false" ht="15" hidden="false" customHeight="false" outlineLevel="0" collapsed="false">
      <c r="A21" s="49" t="str">
        <f aca="false">Dados!A21</f>
        <v>SE</v>
      </c>
      <c r="B21" s="49" t="str">
        <f aca="false">Dados!B21</f>
        <v>Sergipe</v>
      </c>
      <c r="C21" s="49" t="str">
        <f aca="false">Dados!C21</f>
        <v>Nordeste</v>
      </c>
      <c r="D21" s="50" t="n">
        <f aca="false">Dados!D21</f>
        <v>2299425</v>
      </c>
      <c r="E21" s="51" t="n">
        <f aca="false">Dados!E21</f>
        <v>1696.78</v>
      </c>
      <c r="F21" s="52" t="n">
        <f aca="false">D21/D$33</f>
        <v>0.0107741253267362</v>
      </c>
      <c r="G21" s="52" t="n">
        <f aca="false">MIN(MAX(F21,PISO_POP),TETO_POP)</f>
        <v>0.012</v>
      </c>
      <c r="H21" s="52" t="n">
        <f aca="false">0.5*G21/G$33</f>
        <v>0.00708102575793742</v>
      </c>
      <c r="I21" s="53" t="n">
        <f aca="false">1/E21</f>
        <v>0.000589351595374769</v>
      </c>
      <c r="J21" s="52" t="n">
        <f aca="false">0.5*I21/I$33</f>
        <v>0.0205519105565037</v>
      </c>
      <c r="K21" s="54" t="n">
        <f aca="false">MIN(MAX((E21-VR*RDPC_NAC)/(VR*RDPC_NAC),0),1)</f>
        <v>0.0176041353309508</v>
      </c>
      <c r="L21" s="52" t="n">
        <f aca="false">(H21+J21)*(1-K21)</f>
        <v>0.0271464823639702</v>
      </c>
      <c r="M21" s="52" t="n">
        <f aca="false">MAX(L21,COEF_MIN)</f>
        <v>0.0271464823639702</v>
      </c>
      <c r="N21" s="52" t="n">
        <f aca="false">M21/M$33</f>
        <v>0.0365234524250401</v>
      </c>
      <c r="O21" s="55" t="n">
        <f aca="false">Dados!F21</f>
        <v>0.041553</v>
      </c>
      <c r="P21" s="52" t="n">
        <f aca="false">PESO_BASE*O21+PESO_EXC*N21</f>
        <v>0.0397639899275868</v>
      </c>
    </row>
    <row r="22" customFormat="false" ht="15" hidden="false" customHeight="false" outlineLevel="0" collapsed="false">
      <c r="A22" s="49" t="str">
        <f aca="false">Dados!A22</f>
        <v>DF</v>
      </c>
      <c r="B22" s="49" t="str">
        <f aca="false">Dados!B22</f>
        <v>Distrito Federal</v>
      </c>
      <c r="C22" s="49" t="str">
        <f aca="false">Dados!C22</f>
        <v>Centro-Oeste</v>
      </c>
      <c r="D22" s="50" t="n">
        <f aca="false">Dados!D22</f>
        <v>2996899</v>
      </c>
      <c r="E22" s="51" t="n">
        <f aca="false">Dados!E22</f>
        <v>4537.77</v>
      </c>
      <c r="F22" s="52" t="n">
        <f aca="false">D22/D$33</f>
        <v>0.014042191164126</v>
      </c>
      <c r="G22" s="52" t="n">
        <f aca="false">MIN(MAX(F22,PISO_POP),TETO_POP)</f>
        <v>0.014042191164126</v>
      </c>
      <c r="H22" s="52" t="n">
        <f aca="false">0.5*G22/G$33</f>
        <v>0.00828609311092143</v>
      </c>
      <c r="I22" s="53" t="n">
        <f aca="false">1/E22</f>
        <v>0.000220372561853069</v>
      </c>
      <c r="J22" s="52" t="n">
        <f aca="false">0.5*I22/I$33</f>
        <v>0.00768484757800955</v>
      </c>
      <c r="K22" s="54" t="n">
        <f aca="false">MIN(MAX((E22-VR*RDPC_NAC)/(VR*RDPC_NAC),0),1)</f>
        <v>1</v>
      </c>
      <c r="L22" s="52" t="n">
        <f aca="false">(H22+J22)*(1-K22)</f>
        <v>0</v>
      </c>
      <c r="M22" s="52" t="n">
        <f aca="false">MAX(L22,COEF_MIN)</f>
        <v>0.005</v>
      </c>
      <c r="N22" s="52" t="n">
        <f aca="false">M22/M$33</f>
        <v>0.00672710591658745</v>
      </c>
      <c r="O22" s="55" t="n">
        <f aca="false">Dados!F22</f>
        <v>0.006902</v>
      </c>
      <c r="P22" s="52" t="n">
        <f aca="false">PESO_BASE*O22+PESO_EXC*N22</f>
        <v>0.00683979017453015</v>
      </c>
    </row>
    <row r="23" customFormat="false" ht="15" hidden="false" customHeight="false" outlineLevel="0" collapsed="false">
      <c r="A23" s="49" t="str">
        <f aca="false">Dados!A23</f>
        <v>GO</v>
      </c>
      <c r="B23" s="49" t="str">
        <f aca="false">Dados!B23</f>
        <v>Goiás</v>
      </c>
      <c r="C23" s="49" t="str">
        <f aca="false">Dados!C23</f>
        <v>Centro-Oeste</v>
      </c>
      <c r="D23" s="50" t="n">
        <f aca="false">Dados!D23</f>
        <v>7423629</v>
      </c>
      <c r="E23" s="51" t="n">
        <f aca="false">Dados!E23</f>
        <v>2406.89</v>
      </c>
      <c r="F23" s="52" t="n">
        <f aca="false">D23/D$33</f>
        <v>0.0347839608707365</v>
      </c>
      <c r="G23" s="52" t="n">
        <f aca="false">MIN(MAX(F23,PISO_POP),TETO_POP)</f>
        <v>0.0347839608707365</v>
      </c>
      <c r="H23" s="52" t="n">
        <f aca="false">0.5*G23/G$33</f>
        <v>0.020525510240731</v>
      </c>
      <c r="I23" s="53" t="n">
        <f aca="false">1/E23</f>
        <v>0.000415473910315802</v>
      </c>
      <c r="J23" s="52" t="n">
        <f aca="false">0.5*I23/I$33</f>
        <v>0.0144884356136194</v>
      </c>
      <c r="K23" s="54" t="n">
        <f aca="false">MIN(MAX((E23-VR*RDPC_NAC)/(VR*RDPC_NAC),0),1)</f>
        <v>0.443476005897472</v>
      </c>
      <c r="L23" s="52" t="n">
        <f aca="false">(H23+J23)*(1-K23)</f>
        <v>0.0194861009961528</v>
      </c>
      <c r="M23" s="52" t="n">
        <f aca="false">MAX(L23,COEF_MIN)</f>
        <v>0.0194861009961528</v>
      </c>
      <c r="N23" s="52" t="n">
        <f aca="false">M23/M$33</f>
        <v>0.026217013060488</v>
      </c>
      <c r="O23" s="55" t="n">
        <f aca="false">Dados!F23</f>
        <v>0.028431</v>
      </c>
      <c r="P23" s="52" t="n">
        <f aca="false">PESO_BASE*O23+PESO_EXC*N23</f>
        <v>0.0276434848456156</v>
      </c>
    </row>
    <row r="24" customFormat="false" ht="15" hidden="false" customHeight="false" outlineLevel="0" collapsed="false">
      <c r="A24" s="49" t="str">
        <f aca="false">Dados!A24</f>
        <v>MT</v>
      </c>
      <c r="B24" s="49" t="str">
        <f aca="false">Dados!B24</f>
        <v>Mato Grosso</v>
      </c>
      <c r="C24" s="49" t="str">
        <f aca="false">Dados!C24</f>
        <v>Centro-Oeste</v>
      </c>
      <c r="D24" s="50" t="n">
        <f aca="false">Dados!D24</f>
        <v>3893659</v>
      </c>
      <c r="E24" s="51" t="n">
        <f aca="false">Dados!E24</f>
        <v>2334.96</v>
      </c>
      <c r="F24" s="52" t="n">
        <f aca="false">D24/D$33</f>
        <v>0.0182440262437672</v>
      </c>
      <c r="G24" s="52" t="n">
        <f aca="false">MIN(MAX(F24,PISO_POP),TETO_POP)</f>
        <v>0.0182440262437672</v>
      </c>
      <c r="H24" s="52" t="n">
        <f aca="false">0.5*G24/G$33</f>
        <v>0.0107655349800501</v>
      </c>
      <c r="I24" s="53" t="n">
        <f aca="false">1/E24</f>
        <v>0.000428272861205331</v>
      </c>
      <c r="J24" s="52" t="n">
        <f aca="false">0.5*I24/I$33</f>
        <v>0.0149347615351288</v>
      </c>
      <c r="K24" s="54" t="n">
        <f aca="false">MIN(MAX((E24-VR*RDPC_NAC)/(VR*RDPC_NAC),0),1)</f>
        <v>0.400337670076473</v>
      </c>
      <c r="L24" s="52" t="n">
        <f aca="false">(H24+J24)*(1-K24)</f>
        <v>0.0154114996880177</v>
      </c>
      <c r="M24" s="52" t="n">
        <f aca="false">MAX(L24,COEF_MIN)</f>
        <v>0.0154114996880177</v>
      </c>
      <c r="N24" s="52" t="n">
        <f aca="false">M24/M$33</f>
        <v>0.0207349581469499</v>
      </c>
      <c r="O24" s="55" t="n">
        <f aca="false">Dados!F24</f>
        <v>0.023079</v>
      </c>
      <c r="P24" s="52" t="n">
        <f aca="false">PESO_BASE*O24+PESO_EXC*N24</f>
        <v>0.0222452243128701</v>
      </c>
    </row>
    <row r="25" customFormat="false" ht="15" hidden="false" customHeight="false" outlineLevel="0" collapsed="false">
      <c r="A25" s="49" t="str">
        <f aca="false">Dados!A25</f>
        <v>MS</v>
      </c>
      <c r="B25" s="49" t="str">
        <f aca="false">Dados!B25</f>
        <v>Mato Grosso do Sul</v>
      </c>
      <c r="C25" s="49" t="str">
        <f aca="false">Dados!C25</f>
        <v>Centro-Oeste</v>
      </c>
      <c r="D25" s="50" t="n">
        <f aca="false">Dados!D25</f>
        <v>2924631</v>
      </c>
      <c r="E25" s="51" t="n">
        <f aca="false">Dados!E25</f>
        <v>2454.02</v>
      </c>
      <c r="F25" s="52" t="n">
        <f aca="false">D25/D$33</f>
        <v>0.0137035741232951</v>
      </c>
      <c r="G25" s="52" t="n">
        <f aca="false">MIN(MAX(F25,PISO_POP),TETO_POP)</f>
        <v>0.0137035741232951</v>
      </c>
      <c r="H25" s="52" t="n">
        <f aca="false">0.5*G25/G$33</f>
        <v>0.00808628011190476</v>
      </c>
      <c r="I25" s="53" t="n">
        <f aca="false">1/E25</f>
        <v>0.000407494641445465</v>
      </c>
      <c r="J25" s="52" t="n">
        <f aca="false">0.5*I25/I$33</f>
        <v>0.0142101819846882</v>
      </c>
      <c r="K25" s="54" t="n">
        <f aca="false">MIN(MAX((E25-VR*RDPC_NAC)/(VR*RDPC_NAC),0),1)</f>
        <v>0.471741121527163</v>
      </c>
      <c r="L25" s="52" t="n">
        <f aca="false">(H25+J25)*(1-K25)</f>
        <v>0.0117783040610583</v>
      </c>
      <c r="M25" s="52" t="n">
        <f aca="false">MAX(L25,COEF_MIN)</f>
        <v>0.0117783040610583</v>
      </c>
      <c r="N25" s="52" t="n">
        <f aca="false">M25/M$33</f>
        <v>0.0158467797873022</v>
      </c>
      <c r="O25" s="55" t="n">
        <f aca="false">Dados!F25</f>
        <v>0.01332</v>
      </c>
      <c r="P25" s="52" t="n">
        <f aca="false">PESO_BASE*O25+PESO_EXC*N25</f>
        <v>0.0142187755703434</v>
      </c>
    </row>
    <row r="26" customFormat="false" ht="15" hidden="false" customHeight="false" outlineLevel="0" collapsed="false">
      <c r="A26" s="49" t="str">
        <f aca="false">Dados!A26</f>
        <v>ES</v>
      </c>
      <c r="B26" s="49" t="str">
        <f aca="false">Dados!B26</f>
        <v>Espírito Santo</v>
      </c>
      <c r="C26" s="49" t="str">
        <f aca="false">Dados!C26</f>
        <v>Sudeste</v>
      </c>
      <c r="D26" s="50" t="n">
        <f aca="false">Dados!D26</f>
        <v>4126854</v>
      </c>
      <c r="E26" s="51" t="n">
        <f aca="false">Dados!E26</f>
        <v>2248.85</v>
      </c>
      <c r="F26" s="52" t="n">
        <f aca="false">D26/D$33</f>
        <v>0.0193366786049306</v>
      </c>
      <c r="G26" s="52" t="n">
        <f aca="false">MIN(MAX(F26,PISO_POP),TETO_POP)</f>
        <v>0.0193366786049306</v>
      </c>
      <c r="H26" s="52" t="n">
        <f aca="false">0.5*G26/G$33</f>
        <v>0.0114102932728726</v>
      </c>
      <c r="I26" s="53" t="n">
        <f aca="false">1/E26</f>
        <v>0.000444671721101897</v>
      </c>
      <c r="J26" s="52" t="n">
        <f aca="false">0.5*I26/I$33</f>
        <v>0.0155066237383838</v>
      </c>
      <c r="K26" s="54" t="n">
        <f aca="false">MIN(MAX((E26-VR*RDPC_NAC)/(VR*RDPC_NAC),0),1)</f>
        <v>0.34869521077512</v>
      </c>
      <c r="L26" s="52" t="n">
        <f aca="false">(H26+J26)*(1-K26)</f>
        <v>0.0175311169605999</v>
      </c>
      <c r="M26" s="52" t="n">
        <f aca="false">MAX(L26,COEF_MIN)</f>
        <v>0.0175311169605999</v>
      </c>
      <c r="N26" s="52" t="n">
        <f aca="false">M26/M$33</f>
        <v>0.0235867361260076</v>
      </c>
      <c r="O26" s="55" t="n">
        <f aca="false">Dados!F26</f>
        <v>0.015</v>
      </c>
      <c r="P26" s="52" t="n">
        <f aca="false">PESO_BASE*O26+PESO_EXC*N26</f>
        <v>0.0180543020400209</v>
      </c>
    </row>
    <row r="27" customFormat="false" ht="15" hidden="false" customHeight="false" outlineLevel="0" collapsed="false">
      <c r="A27" s="49" t="str">
        <f aca="false">Dados!A27</f>
        <v>MG</v>
      </c>
      <c r="B27" s="49" t="str">
        <f aca="false">Dados!B27</f>
        <v>Minas Gerais</v>
      </c>
      <c r="C27" s="49" t="str">
        <f aca="false">Dados!C27</f>
        <v>Sudeste</v>
      </c>
      <c r="D27" s="50" t="n">
        <f aca="false">Dados!D27</f>
        <v>21393441</v>
      </c>
      <c r="E27" s="51" t="n">
        <f aca="false">Dados!E27</f>
        <v>2352.69</v>
      </c>
      <c r="F27" s="52" t="n">
        <f aca="false">D27/D$33</f>
        <v>0.100240544703192</v>
      </c>
      <c r="G27" s="52" t="n">
        <f aca="false">MIN(MAX(F27,PISO_POP),TETO_POP)</f>
        <v>0.07</v>
      </c>
      <c r="H27" s="52" t="n">
        <f aca="false">0.5*G27/G$33</f>
        <v>0.0413059835879683</v>
      </c>
      <c r="I27" s="53" t="n">
        <f aca="false">1/E27</f>
        <v>0.000425045373593631</v>
      </c>
      <c r="J27" s="52" t="n">
        <f aca="false">0.5*I27/I$33</f>
        <v>0.0148222123586467</v>
      </c>
      <c r="K27" s="54" t="n">
        <f aca="false">MIN(MAX((E27-VR*RDPC_NAC)/(VR*RDPC_NAC),0),1)</f>
        <v>0.410970823060017</v>
      </c>
      <c r="L27" s="52" t="n">
        <f aca="false">(H27+J27)*(1-K27)</f>
        <v>0.0330611450615607</v>
      </c>
      <c r="M27" s="52" t="n">
        <f aca="false">MAX(L27,COEF_MIN)</f>
        <v>0.0330611450615607</v>
      </c>
      <c r="N27" s="52" t="n">
        <f aca="false">M27/M$33</f>
        <v>0.0444811649105562</v>
      </c>
      <c r="O27" s="55" t="n">
        <f aca="false">Dados!F27</f>
        <v>0.044545</v>
      </c>
      <c r="P27" s="52" t="n">
        <f aca="false">PESO_BASE*O27+PESO_EXC*N27</f>
        <v>0.0445222938586848</v>
      </c>
    </row>
    <row r="28" customFormat="false" ht="15" hidden="false" customHeight="false" outlineLevel="0" collapsed="false">
      <c r="A28" s="49" t="str">
        <f aca="false">Dados!A28</f>
        <v>RJ</v>
      </c>
      <c r="B28" s="49" t="str">
        <f aca="false">Dados!B28</f>
        <v>Rio de Janeiro</v>
      </c>
      <c r="C28" s="49" t="str">
        <f aca="false">Dados!C28</f>
        <v>Sudeste</v>
      </c>
      <c r="D28" s="50" t="n">
        <f aca="false">Dados!D28</f>
        <v>17223547</v>
      </c>
      <c r="E28" s="51" t="n">
        <f aca="false">Dados!E28</f>
        <v>2793.73</v>
      </c>
      <c r="F28" s="52" t="n">
        <f aca="false">D28/D$33</f>
        <v>0.0807021990058084</v>
      </c>
      <c r="G28" s="52" t="n">
        <f aca="false">MIN(MAX(F28,PISO_POP),TETO_POP)</f>
        <v>0.07</v>
      </c>
      <c r="H28" s="52" t="n">
        <f aca="false">0.5*G28/G$33</f>
        <v>0.0413059835879683</v>
      </c>
      <c r="I28" s="53" t="n">
        <f aca="false">1/E28</f>
        <v>0.000357944396917383</v>
      </c>
      <c r="J28" s="52" t="n">
        <f aca="false">0.5*I28/I$33</f>
        <v>0.0124822623496417</v>
      </c>
      <c r="K28" s="54" t="n">
        <f aca="false">MIN(MAX((E28-VR*RDPC_NAC)/(VR*RDPC_NAC),0),1)</f>
        <v>0.675474251817052</v>
      </c>
      <c r="L28" s="52" t="n">
        <f aca="false">(H28+J28)*(1-K28)</f>
        <v>0.0174556707563513</v>
      </c>
      <c r="M28" s="52" t="n">
        <f aca="false">MAX(L28,COEF_MIN)</f>
        <v>0.0174556707563513</v>
      </c>
      <c r="N28" s="52" t="n">
        <f aca="false">M28/M$33</f>
        <v>0.0234852292046106</v>
      </c>
      <c r="O28" s="55" t="n">
        <f aca="false">Dados!F28</f>
        <v>0.015277</v>
      </c>
      <c r="P28" s="52" t="n">
        <f aca="false">PESO_BASE*O28+PESO_EXC*N28</f>
        <v>0.01819666712808</v>
      </c>
    </row>
    <row r="29" customFormat="false" ht="15" hidden="false" customHeight="false" outlineLevel="0" collapsed="false">
      <c r="A29" s="49" t="str">
        <f aca="false">Dados!A29</f>
        <v>SP</v>
      </c>
      <c r="B29" s="49" t="str">
        <f aca="false">Dados!B29</f>
        <v>São Paulo</v>
      </c>
      <c r="C29" s="49" t="str">
        <f aca="false">Dados!C29</f>
        <v>Sudeste</v>
      </c>
      <c r="D29" s="50" t="n">
        <f aca="false">Dados!D29</f>
        <v>46081801</v>
      </c>
      <c r="E29" s="51" t="n">
        <f aca="false">Dados!E29</f>
        <v>2956.42</v>
      </c>
      <c r="F29" s="52" t="n">
        <f aca="false">D29/D$33</f>
        <v>0.215919675247384</v>
      </c>
      <c r="G29" s="52" t="n">
        <f aca="false">MIN(MAX(F29,PISO_POP),TETO_POP)</f>
        <v>0.07</v>
      </c>
      <c r="H29" s="52" t="n">
        <f aca="false">0.5*G29/G$33</f>
        <v>0.0413059835879683</v>
      </c>
      <c r="I29" s="53" t="n">
        <f aca="false">1/E29</f>
        <v>0.000338246933791545</v>
      </c>
      <c r="J29" s="52" t="n">
        <f aca="false">0.5*I29/I$33</f>
        <v>0.011795371021054</v>
      </c>
      <c r="K29" s="54" t="n">
        <f aca="false">MIN(MAX((E29-VR*RDPC_NAC)/(VR*RDPC_NAC),0),1)</f>
        <v>0.773043775725274</v>
      </c>
      <c r="L29" s="52" t="n">
        <f aca="false">(H29+J29)*(1-K29)</f>
        <v>0.012051682945937</v>
      </c>
      <c r="M29" s="52" t="n">
        <f aca="false">MAX(L29,COEF_MIN)</f>
        <v>0.012051682945937</v>
      </c>
      <c r="N29" s="52" t="n">
        <f aca="false">M29/M$33</f>
        <v>0.0162145895300898</v>
      </c>
      <c r="O29" s="55" t="n">
        <f aca="false">Dados!F29</f>
        <v>0.01</v>
      </c>
      <c r="P29" s="52" t="n">
        <f aca="false">PESO_BASE*O29+PESO_EXC*N29</f>
        <v>0.0122105294958529</v>
      </c>
    </row>
    <row r="30" customFormat="false" ht="15" hidden="false" customHeight="false" outlineLevel="0" collapsed="false">
      <c r="A30" s="49" t="str">
        <f aca="false">Dados!A30</f>
        <v>PR</v>
      </c>
      <c r="B30" s="49" t="str">
        <f aca="false">Dados!B30</f>
        <v>Paraná</v>
      </c>
      <c r="C30" s="49" t="str">
        <f aca="false">Dados!C30</f>
        <v>Sul</v>
      </c>
      <c r="D30" s="50" t="n">
        <f aca="false">Dados!D30</f>
        <v>11890517</v>
      </c>
      <c r="E30" s="51" t="n">
        <f aca="false">Dados!E30</f>
        <v>2761.75</v>
      </c>
      <c r="F30" s="52" t="n">
        <f aca="false">D30/D$33</f>
        <v>0.055713893846369</v>
      </c>
      <c r="G30" s="52" t="n">
        <f aca="false">MIN(MAX(F30,PISO_POP),TETO_POP)</f>
        <v>0.055713893846369</v>
      </c>
      <c r="H30" s="52" t="n">
        <f aca="false">0.5*G30/G$33</f>
        <v>0.0328759597834275</v>
      </c>
      <c r="I30" s="53" t="n">
        <f aca="false">1/E30</f>
        <v>0.000362089255001358</v>
      </c>
      <c r="J30" s="52" t="n">
        <f aca="false">0.5*I30/I$33</f>
        <v>0.0126268021341774</v>
      </c>
      <c r="K30" s="54" t="n">
        <f aca="false">MIN(MAX((E30-VR*RDPC_NAC)/(VR*RDPC_NAC),0),1)</f>
        <v>0.656294994489712</v>
      </c>
      <c r="L30" s="52" t="n">
        <f aca="false">(H30+J30)*(1-K30)</f>
        <v>0.0156395270356237</v>
      </c>
      <c r="M30" s="52" t="n">
        <f aca="false">MAX(L30,COEF_MIN)</f>
        <v>0.0156395270356237</v>
      </c>
      <c r="N30" s="52" t="n">
        <f aca="false">M30/M$33</f>
        <v>0.0210417509707947</v>
      </c>
      <c r="O30" s="55" t="n">
        <f aca="false">Dados!F30</f>
        <v>0.028832</v>
      </c>
      <c r="P30" s="52" t="n">
        <f aca="false">PESO_BASE*O30+PESO_EXC*N30</f>
        <v>0.0260610084203117</v>
      </c>
    </row>
    <row r="31" customFormat="false" ht="15" hidden="false" customHeight="false" outlineLevel="0" collapsed="false">
      <c r="A31" s="49" t="str">
        <f aca="false">Dados!A31</f>
        <v>RS</v>
      </c>
      <c r="B31" s="49" t="str">
        <f aca="false">Dados!B31</f>
        <v>Rio Grande do Sul</v>
      </c>
      <c r="C31" s="49" t="str">
        <f aca="false">Dados!C31</f>
        <v>Sul</v>
      </c>
      <c r="D31" s="50" t="n">
        <f aca="false">Dados!D31</f>
        <v>11233263</v>
      </c>
      <c r="E31" s="51" t="n">
        <f aca="false">Dados!E31</f>
        <v>2839.14</v>
      </c>
      <c r="F31" s="52" t="n">
        <f aca="false">D31/D$33</f>
        <v>0.0526342817835713</v>
      </c>
      <c r="G31" s="52" t="n">
        <f aca="false">MIN(MAX(F31,PISO_POP),TETO_POP)</f>
        <v>0.0526342817835713</v>
      </c>
      <c r="H31" s="52" t="n">
        <f aca="false">0.5*G31/G$33</f>
        <v>0.0310587254216671</v>
      </c>
      <c r="I31" s="53" t="n">
        <f aca="false">1/E31</f>
        <v>0.000352219334023683</v>
      </c>
      <c r="J31" s="52" t="n">
        <f aca="false">0.5*I31/I$33</f>
        <v>0.0122826175511121</v>
      </c>
      <c r="K31" s="54" t="n">
        <f aca="false">MIN(MAX((E31-VR*RDPC_NAC)/(VR*RDPC_NAC),0),1)</f>
        <v>0.702707837659282</v>
      </c>
      <c r="L31" s="52" t="n">
        <f aca="false">(H31+J31)*(1-K31)</f>
        <v>0.0128850415711282</v>
      </c>
      <c r="M31" s="52" t="n">
        <f aca="false">MAX(L31,COEF_MIN)</f>
        <v>0.0128850415711282</v>
      </c>
      <c r="N31" s="52" t="n">
        <f aca="false">M31/M$33</f>
        <v>0.0173358078777224</v>
      </c>
      <c r="O31" s="55" t="n">
        <f aca="false">Dados!F31</f>
        <v>0.023548</v>
      </c>
      <c r="P31" s="52" t="n">
        <f aca="false">PESO_BASE*O31+PESO_EXC*N31</f>
        <v>0.0213383232621058</v>
      </c>
    </row>
    <row r="32" customFormat="false" ht="15" hidden="false" customHeight="false" outlineLevel="0" collapsed="false">
      <c r="A32" s="49" t="str">
        <f aca="false">Dados!A32</f>
        <v>SC</v>
      </c>
      <c r="B32" s="49" t="str">
        <f aca="false">Dados!B32</f>
        <v>Santa Catarina</v>
      </c>
      <c r="C32" s="49" t="str">
        <f aca="false">Dados!C32</f>
        <v>Sul</v>
      </c>
      <c r="D32" s="50" t="n">
        <f aca="false">Dados!D32</f>
        <v>8187029</v>
      </c>
      <c r="E32" s="51" t="n">
        <f aca="false">Dados!E32</f>
        <v>2809.45</v>
      </c>
      <c r="F32" s="52" t="n">
        <f aca="false">D32/D$33</f>
        <v>0.0383609278404921</v>
      </c>
      <c r="G32" s="52" t="n">
        <f aca="false">MIN(MAX(F32,PISO_POP),TETO_POP)</f>
        <v>0.0383609278404921</v>
      </c>
      <c r="H32" s="52" t="n">
        <f aca="false">0.5*G32/G$33</f>
        <v>0.0226362265114086</v>
      </c>
      <c r="I32" s="53" t="n">
        <f aca="false">1/E32</f>
        <v>0.000355941554396768</v>
      </c>
      <c r="J32" s="52" t="n">
        <f aca="false">0.5*I32/I$33</f>
        <v>0.0124124190834734</v>
      </c>
      <c r="K32" s="54" t="n">
        <f aca="false">MIN(MAX((E32-VR*RDPC_NAC)/(VR*RDPC_NAC),0),1)</f>
        <v>0.684901954293155</v>
      </c>
      <c r="L32" s="52" t="n">
        <f aca="false">(H32+J32)*(1-K32)</f>
        <v>0.0110437597316192</v>
      </c>
      <c r="M32" s="52" t="n">
        <f aca="false">MAX(L32,COEF_MIN)</f>
        <v>0.0110437597316192</v>
      </c>
      <c r="N32" s="52" t="n">
        <f aca="false">M32/M$33</f>
        <v>0.0148585082863891</v>
      </c>
      <c r="O32" s="55" t="n">
        <f aca="false">Dados!F32</f>
        <v>0.012798</v>
      </c>
      <c r="P32" s="52" t="n">
        <f aca="false">PESO_BASE*O32+PESO_EXC*N32</f>
        <v>0.0135309227974686</v>
      </c>
    </row>
    <row r="33" customFormat="false" ht="15" hidden="false" customHeight="false" outlineLevel="0" collapsed="false">
      <c r="A33" s="43"/>
      <c r="B33" s="43" t="s">
        <v>180</v>
      </c>
      <c r="C33" s="43"/>
      <c r="D33" s="44" t="n">
        <f aca="false">SUM(D6:D32)</f>
        <v>213421037</v>
      </c>
      <c r="E33" s="56" t="n">
        <f aca="false">RDPC_NAC</f>
        <v>2315.87</v>
      </c>
      <c r="F33" s="45" t="n">
        <f aca="false">SUM(F6:F32)</f>
        <v>1</v>
      </c>
      <c r="G33" s="45" t="n">
        <f aca="false">SUM(G6:G32)</f>
        <v>0.847334864341419</v>
      </c>
      <c r="H33" s="45" t="n">
        <f aca="false">SUM(H6:H32)</f>
        <v>0.5</v>
      </c>
      <c r="I33" s="57" t="n">
        <f aca="false">SUM(I6:I32)</f>
        <v>0.0143381218440605</v>
      </c>
      <c r="J33" s="45" t="n">
        <f aca="false">SUM(J6:J32)</f>
        <v>0.5</v>
      </c>
      <c r="K33" s="58"/>
      <c r="L33" s="45" t="n">
        <f aca="false">SUM(L6:L32)</f>
        <v>0.738261673295672</v>
      </c>
      <c r="M33" s="45" t="n">
        <f aca="false">SUM(M6:M32)</f>
        <v>0.743261673295672</v>
      </c>
      <c r="N33" s="45" t="n">
        <f aca="false">SUM(N6:N32)</f>
        <v>1</v>
      </c>
      <c r="O33" s="45" t="n">
        <f aca="false">SUM(O6:O32)</f>
        <v>1</v>
      </c>
      <c r="P33" s="45" t="n">
        <f aca="false">SUM(P6:P32)</f>
        <v>1</v>
      </c>
    </row>
    <row r="34" customFormat="false" ht="15" hidden="false" customHeight="false" outlineLevel="0" collapsed="false">
      <c r="E34" s="59" t="s">
        <v>181</v>
      </c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8.55" hidden="false" customHeight="false" outlineLevel="0" collapsed="false">
      <c r="A1" s="23" t="s">
        <v>182</v>
      </c>
    </row>
    <row r="2" customFormat="false" ht="42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20" hidden="false" customHeight="true" outlineLevel="0" collapsed="false">
      <c r="A4" s="47"/>
      <c r="B4" s="47"/>
      <c r="C4" s="47"/>
      <c r="D4" s="48" t="s">
        <v>155</v>
      </c>
      <c r="E4" s="48" t="s">
        <v>155</v>
      </c>
      <c r="F4" s="48" t="s">
        <v>156</v>
      </c>
      <c r="G4" s="48" t="s">
        <v>157</v>
      </c>
      <c r="H4" s="48" t="s">
        <v>158</v>
      </c>
      <c r="I4" s="48" t="s">
        <v>159</v>
      </c>
      <c r="J4" s="48" t="s">
        <v>160</v>
      </c>
      <c r="K4" s="48" t="s">
        <v>161</v>
      </c>
      <c r="L4" s="60" t="s">
        <v>184</v>
      </c>
      <c r="M4" s="48" t="s">
        <v>163</v>
      </c>
      <c r="N4" s="48" t="s">
        <v>164</v>
      </c>
    </row>
    <row r="5" customFormat="false" ht="42" hidden="false" customHeight="true" outlineLevel="0" collapsed="false">
      <c r="A5" s="24" t="s">
        <v>82</v>
      </c>
      <c r="B5" s="24" t="s">
        <v>83</v>
      </c>
      <c r="C5" s="24" t="s">
        <v>84</v>
      </c>
      <c r="D5" s="24" t="s">
        <v>167</v>
      </c>
      <c r="E5" s="24" t="s">
        <v>168</v>
      </c>
      <c r="F5" s="24" t="s">
        <v>169</v>
      </c>
      <c r="G5" s="24" t="s">
        <v>170</v>
      </c>
      <c r="H5" s="24" t="s">
        <v>171</v>
      </c>
      <c r="I5" s="24" t="s">
        <v>172</v>
      </c>
      <c r="J5" s="24" t="s">
        <v>173</v>
      </c>
      <c r="K5" s="24" t="s">
        <v>174</v>
      </c>
      <c r="L5" s="24" t="s">
        <v>175</v>
      </c>
      <c r="M5" s="24" t="s">
        <v>176</v>
      </c>
      <c r="N5" s="24" t="s">
        <v>177</v>
      </c>
    </row>
    <row r="6" customFormat="false" ht="15" hidden="false" customHeight="false" outlineLevel="0" collapsed="false">
      <c r="A6" s="49" t="str">
        <f aca="false">Dados!A6</f>
        <v>AC</v>
      </c>
      <c r="B6" s="49" t="str">
        <f aca="false">Dados!B6</f>
        <v>Acre</v>
      </c>
      <c r="C6" s="49" t="str">
        <f aca="false">Dados!C6</f>
        <v>Norte</v>
      </c>
      <c r="D6" s="50" t="n">
        <f aca="false">Dados!D6</f>
        <v>884372</v>
      </c>
      <c r="E6" s="51" t="n">
        <f aca="false">Dados!E6</f>
        <v>1391.53</v>
      </c>
      <c r="F6" s="52" t="n">
        <f aca="false">D6/D$33</f>
        <v>0.00414379019252915</v>
      </c>
      <c r="G6" s="52" t="n">
        <f aca="false">MIN(MAX(F6,PISO_POP),TETO_POP)</f>
        <v>0.012</v>
      </c>
      <c r="H6" s="52" t="n">
        <f aca="false">0.5*G6/G$33</f>
        <v>0.00708102575793742</v>
      </c>
      <c r="I6" s="53" t="n">
        <f aca="false">1/E6</f>
        <v>0.000718633446637874</v>
      </c>
      <c r="J6" s="52" t="n">
        <f aca="false">0.5*I6/I$33</f>
        <v>0.0250602364261384</v>
      </c>
      <c r="K6" s="54" t="n">
        <f aca="false">MIN(MAX((E6-VR*RDPC_NAC)/(VR*RDPC_NAC),0),1)</f>
        <v>0</v>
      </c>
      <c r="L6" s="61" t="n">
        <f aca="false">H6+J6*(1-K6)</f>
        <v>0.0321412621840759</v>
      </c>
      <c r="M6" s="52" t="n">
        <f aca="false">MAX(L6,COEF_MIN)</f>
        <v>0.0321412621840759</v>
      </c>
      <c r="N6" s="52" t="n">
        <f aca="false">M6/M$33</f>
        <v>0.0354003370223452</v>
      </c>
    </row>
    <row r="7" customFormat="false" ht="15" hidden="false" customHeight="false" outlineLevel="0" collapsed="false">
      <c r="A7" s="49" t="str">
        <f aca="false">Dados!A7</f>
        <v>AP</v>
      </c>
      <c r="B7" s="49" t="str">
        <f aca="false">Dados!B7</f>
        <v>Amapá</v>
      </c>
      <c r="C7" s="49" t="str">
        <f aca="false">Dados!C7</f>
        <v>Norte</v>
      </c>
      <c r="D7" s="50" t="n">
        <f aca="false">Dados!D7</f>
        <v>806517</v>
      </c>
      <c r="E7" s="51" t="n">
        <f aca="false">Dados!E7</f>
        <v>1697.24</v>
      </c>
      <c r="F7" s="52" t="n">
        <f aca="false">D7/D$33</f>
        <v>0.00377899485138384</v>
      </c>
      <c r="G7" s="52" t="n">
        <f aca="false">MIN(MAX(F7,PISO_POP),TETO_POP)</f>
        <v>0.012</v>
      </c>
      <c r="H7" s="52" t="n">
        <f aca="false">0.5*G7/G$33</f>
        <v>0.00708102575793742</v>
      </c>
      <c r="I7" s="53" t="n">
        <f aca="false">1/E7</f>
        <v>0.000589191864438736</v>
      </c>
      <c r="J7" s="52" t="n">
        <f aca="false">0.5*I7/I$33</f>
        <v>0.0205463404079944</v>
      </c>
      <c r="K7" s="54" t="n">
        <f aca="false">MIN(MAX((E7-VR*RDPC_NAC)/(VR*RDPC_NAC),0),1)</f>
        <v>0.0178800095764348</v>
      </c>
      <c r="L7" s="61" t="n">
        <f aca="false">H7+J7*(1-K7)</f>
        <v>0.0272599974026762</v>
      </c>
      <c r="M7" s="52" t="n">
        <f aca="false">MAX(L7,COEF_MIN)</f>
        <v>0.0272599974026762</v>
      </c>
      <c r="N7" s="52" t="n">
        <f aca="false">M7/M$33</f>
        <v>0.0300241194560523</v>
      </c>
    </row>
    <row r="8" customFormat="false" ht="15" hidden="false" customHeight="false" outlineLevel="0" collapsed="false">
      <c r="A8" s="49" t="str">
        <f aca="false">Dados!A8</f>
        <v>AM</v>
      </c>
      <c r="B8" s="49" t="str">
        <f aca="false">Dados!B8</f>
        <v>Amazonas</v>
      </c>
      <c r="C8" s="49" t="str">
        <f aca="false">Dados!C8</f>
        <v>Norte</v>
      </c>
      <c r="D8" s="50" t="n">
        <f aca="false">Dados!D8</f>
        <v>4321616</v>
      </c>
      <c r="E8" s="51" t="n">
        <f aca="false">Dados!E8</f>
        <v>1484.39</v>
      </c>
      <c r="F8" s="52" t="n">
        <f aca="false">D8/D$33</f>
        <v>0.0202492503117207</v>
      </c>
      <c r="G8" s="52" t="n">
        <f aca="false">MIN(MAX(F8,PISO_POP),TETO_POP)</f>
        <v>0.0202492503117207</v>
      </c>
      <c r="H8" s="52" t="n">
        <f aca="false">0.5*G8/G$33</f>
        <v>0.0119487885863514</v>
      </c>
      <c r="I8" s="53" t="n">
        <f aca="false">1/E8</f>
        <v>0.000673677402838877</v>
      </c>
      <c r="J8" s="52" t="n">
        <f aca="false">0.5*I8/I$33</f>
        <v>0.0234925260841588</v>
      </c>
      <c r="K8" s="54" t="n">
        <f aca="false">MIN(MAX((E8-VR*RDPC_NAC)/(VR*RDPC_NAC),0),1)</f>
        <v>0</v>
      </c>
      <c r="L8" s="61" t="n">
        <f aca="false">H8+J8*(1-K8)</f>
        <v>0.0354413146705101</v>
      </c>
      <c r="M8" s="52" t="n">
        <f aca="false">MAX(L8,COEF_MIN)</f>
        <v>0.0354413146705101</v>
      </c>
      <c r="N8" s="52" t="n">
        <f aca="false">M8/M$33</f>
        <v>0.0390350097847945</v>
      </c>
    </row>
    <row r="9" customFormat="false" ht="15" hidden="false" customHeight="false" outlineLevel="0" collapsed="false">
      <c r="A9" s="49" t="str">
        <f aca="false">Dados!A9</f>
        <v>PA</v>
      </c>
      <c r="B9" s="49" t="str">
        <f aca="false">Dados!B9</f>
        <v>Pará</v>
      </c>
      <c r="C9" s="49" t="str">
        <f aca="false">Dados!C9</f>
        <v>Norte</v>
      </c>
      <c r="D9" s="50" t="n">
        <f aca="false">Dados!D9</f>
        <v>8711196</v>
      </c>
      <c r="E9" s="51" t="n">
        <f aca="false">Dados!E9</f>
        <v>1420</v>
      </c>
      <c r="F9" s="52" t="n">
        <f aca="false">D9/D$33</f>
        <v>0.040816950955027</v>
      </c>
      <c r="G9" s="52" t="n">
        <f aca="false">MIN(MAX(F9,PISO_POP),TETO_POP)</f>
        <v>0.040816950955027</v>
      </c>
      <c r="H9" s="52" t="n">
        <f aca="false">0.5*G9/G$33</f>
        <v>0.0240854900894179</v>
      </c>
      <c r="I9" s="53" t="n">
        <f aca="false">1/E9</f>
        <v>0.000704225352112676</v>
      </c>
      <c r="J9" s="52" t="n">
        <f aca="false">0.5*I9/I$33</f>
        <v>0.0245577963338482</v>
      </c>
      <c r="K9" s="54" t="n">
        <f aca="false">MIN(MAX((E9-VR*RDPC_NAC)/(VR*RDPC_NAC),0),1)</f>
        <v>0</v>
      </c>
      <c r="L9" s="61" t="n">
        <f aca="false">H9+J9*(1-K9)</f>
        <v>0.0486432864232661</v>
      </c>
      <c r="M9" s="52" t="n">
        <f aca="false">MAX(L9,COEF_MIN)</f>
        <v>0.0486432864232661</v>
      </c>
      <c r="N9" s="52" t="n">
        <f aca="false">M9/M$33</f>
        <v>0.0535756412861481</v>
      </c>
    </row>
    <row r="10" customFormat="false" ht="15" hidden="false" customHeight="false" outlineLevel="0" collapsed="false">
      <c r="A10" s="49" t="str">
        <f aca="false">Dados!A10</f>
        <v>RO</v>
      </c>
      <c r="B10" s="49" t="str">
        <f aca="false">Dados!B10</f>
        <v>Rondônia</v>
      </c>
      <c r="C10" s="49" t="str">
        <f aca="false">Dados!C10</f>
        <v>Norte</v>
      </c>
      <c r="D10" s="50" t="n">
        <f aca="false">Dados!D10</f>
        <v>1751950</v>
      </c>
      <c r="E10" s="51" t="n">
        <f aca="false">Dados!E10</f>
        <v>1990.95</v>
      </c>
      <c r="F10" s="52" t="n">
        <f aca="false">D10/D$33</f>
        <v>0.00820889086018264</v>
      </c>
      <c r="G10" s="52" t="n">
        <f aca="false">MIN(MAX(F10,PISO_POP),TETO_POP)</f>
        <v>0.012</v>
      </c>
      <c r="H10" s="52" t="n">
        <f aca="false">0.5*G10/G$33</f>
        <v>0.00708102575793742</v>
      </c>
      <c r="I10" s="53" t="n">
        <f aca="false">1/E10</f>
        <v>0.00050227278434918</v>
      </c>
      <c r="J10" s="52" t="n">
        <f aca="false">0.5*I10/I$33</f>
        <v>0.0175152920937565</v>
      </c>
      <c r="K10" s="54" t="n">
        <f aca="false">MIN(MAX((E10-VR*RDPC_NAC)/(VR*RDPC_NAC),0),1)</f>
        <v>0.19402571531793</v>
      </c>
      <c r="L10" s="61" t="n">
        <f aca="false">H10+J10*(1-K10)</f>
        <v>0.0211979007742003</v>
      </c>
      <c r="M10" s="52" t="n">
        <f aca="false">MAX(L10,COEF_MIN)</f>
        <v>0.0211979007742003</v>
      </c>
      <c r="N10" s="52" t="n">
        <f aca="false">M10/M$33</f>
        <v>0.0233473354989994</v>
      </c>
    </row>
    <row r="11" customFormat="false" ht="15" hidden="false" customHeight="false" outlineLevel="0" collapsed="false">
      <c r="A11" s="49" t="str">
        <f aca="false">Dados!A11</f>
        <v>RR</v>
      </c>
      <c r="B11" s="49" t="str">
        <f aca="false">Dados!B11</f>
        <v>Roraima</v>
      </c>
      <c r="C11" s="49" t="str">
        <f aca="false">Dados!C11</f>
        <v>Norte</v>
      </c>
      <c r="D11" s="50" t="n">
        <f aca="false">Dados!D11</f>
        <v>738772</v>
      </c>
      <c r="E11" s="51" t="n">
        <f aca="false">Dados!E11</f>
        <v>1764</v>
      </c>
      <c r="F11" s="52" t="n">
        <f aca="false">D11/D$33</f>
        <v>0.00346157066044056</v>
      </c>
      <c r="G11" s="52" t="n">
        <f aca="false">MIN(MAX(F11,PISO_POP),TETO_POP)</f>
        <v>0.012</v>
      </c>
      <c r="H11" s="52" t="n">
        <f aca="false">0.5*G11/G$33</f>
        <v>0.00708102575793742</v>
      </c>
      <c r="I11" s="53" t="n">
        <f aca="false">1/E11</f>
        <v>0.000566893424036281</v>
      </c>
      <c r="J11" s="52" t="n">
        <f aca="false">0.5*I11/I$33</f>
        <v>0.0197687476156828</v>
      </c>
      <c r="K11" s="54" t="n">
        <f aca="false">MIN(MAX((E11-VR*RDPC_NAC)/(VR*RDPC_NAC),0),1)</f>
        <v>0.0579177587688429</v>
      </c>
      <c r="L11" s="61" t="n">
        <f aca="false">H11+J11*(1-K11)</f>
        <v>0.0257048118180529</v>
      </c>
      <c r="M11" s="52" t="n">
        <f aca="false">MAX(L11,COEF_MIN)</f>
        <v>0.0257048118180529</v>
      </c>
      <c r="N11" s="52" t="n">
        <f aca="false">M11/M$33</f>
        <v>0.0283112404311822</v>
      </c>
    </row>
    <row r="12" customFormat="false" ht="15" hidden="false" customHeight="false" outlineLevel="0" collapsed="false">
      <c r="A12" s="49" t="str">
        <f aca="false">Dados!A12</f>
        <v>TO</v>
      </c>
      <c r="B12" s="49" t="str">
        <f aca="false">Dados!B12</f>
        <v>Tocantins</v>
      </c>
      <c r="C12" s="49" t="str">
        <f aca="false">Dados!C12</f>
        <v>Norte</v>
      </c>
      <c r="D12" s="50" t="n">
        <f aca="false">Dados!D12</f>
        <v>1586859</v>
      </c>
      <c r="E12" s="51" t="n">
        <f aca="false">Dados!E12</f>
        <v>2036.09</v>
      </c>
      <c r="F12" s="52" t="n">
        <f aca="false">D12/D$33</f>
        <v>0.00743534481092415</v>
      </c>
      <c r="G12" s="52" t="n">
        <f aca="false">MIN(MAX(F12,PISO_POP),TETO_POP)</f>
        <v>0.012</v>
      </c>
      <c r="H12" s="52" t="n">
        <f aca="false">0.5*G12/G$33</f>
        <v>0.00708102575793742</v>
      </c>
      <c r="I12" s="53" t="n">
        <f aca="false">1/E12</f>
        <v>0.000491137425162935</v>
      </c>
      <c r="J12" s="52" t="n">
        <f aca="false">0.5*I12/I$33</f>
        <v>0.0171269790598964</v>
      </c>
      <c r="K12" s="54" t="n">
        <f aca="false">MIN(MAX((E12-VR*RDPC_NAC)/(VR*RDPC_NAC),0),1)</f>
        <v>0.221097374972593</v>
      </c>
      <c r="L12" s="61" t="n">
        <f aca="false">H12+J12*(1-K12)</f>
        <v>0.0204212747064802</v>
      </c>
      <c r="M12" s="52" t="n">
        <f aca="false">MAX(L12,COEF_MIN)</f>
        <v>0.0204212747064802</v>
      </c>
      <c r="N12" s="52" t="n">
        <f aca="false">M12/M$33</f>
        <v>0.0224919607355512</v>
      </c>
    </row>
    <row r="13" customFormat="false" ht="15" hidden="false" customHeight="false" outlineLevel="0" collapsed="false">
      <c r="A13" s="49" t="str">
        <f aca="false">Dados!A13</f>
        <v>AL</v>
      </c>
      <c r="B13" s="49" t="str">
        <f aca="false">Dados!B13</f>
        <v>Alagoas</v>
      </c>
      <c r="C13" s="49" t="str">
        <f aca="false">Dados!C13</f>
        <v>Nordeste</v>
      </c>
      <c r="D13" s="50" t="n">
        <f aca="false">Dados!D13</f>
        <v>3220848</v>
      </c>
      <c r="E13" s="51" t="n">
        <f aca="false">Dados!E13</f>
        <v>1421.6</v>
      </c>
      <c r="F13" s="52" t="n">
        <f aca="false">D13/D$33</f>
        <v>0.0150915207107723</v>
      </c>
      <c r="G13" s="52" t="n">
        <f aca="false">MIN(MAX(F13,PISO_POP),TETO_POP)</f>
        <v>0.0150915207107723</v>
      </c>
      <c r="H13" s="52" t="n">
        <f aca="false">0.5*G13/G$33</f>
        <v>0.00890528723995206</v>
      </c>
      <c r="I13" s="53" t="n">
        <f aca="false">1/E13</f>
        <v>0.000703432751828925</v>
      </c>
      <c r="J13" s="52" t="n">
        <f aca="false">0.5*I13/I$33</f>
        <v>0.0245301567206418</v>
      </c>
      <c r="K13" s="54" t="n">
        <f aca="false">MIN(MAX((E13-VR*RDPC_NAC)/(VR*RDPC_NAC),0),1)</f>
        <v>0</v>
      </c>
      <c r="L13" s="61" t="n">
        <f aca="false">H13+J13*(1-K13)</f>
        <v>0.0334354439605939</v>
      </c>
      <c r="M13" s="52" t="n">
        <f aca="false">MAX(L13,COEF_MIN)</f>
        <v>0.0334354439605939</v>
      </c>
      <c r="N13" s="52" t="n">
        <f aca="false">M13/M$33</f>
        <v>0.0368257468520691</v>
      </c>
    </row>
    <row r="14" customFormat="false" ht="15" hidden="false" customHeight="false" outlineLevel="0" collapsed="false">
      <c r="A14" s="49" t="str">
        <f aca="false">Dados!A14</f>
        <v>BA</v>
      </c>
      <c r="B14" s="49" t="str">
        <f aca="false">Dados!B14</f>
        <v>Bahia</v>
      </c>
      <c r="C14" s="49" t="str">
        <f aca="false">Dados!C14</f>
        <v>Nordeste</v>
      </c>
      <c r="D14" s="50" t="n">
        <f aca="false">Dados!D14</f>
        <v>14870907</v>
      </c>
      <c r="E14" s="51" t="n">
        <f aca="false">Dados!E14</f>
        <v>1465.2</v>
      </c>
      <c r="F14" s="52" t="n">
        <f aca="false">D14/D$33</f>
        <v>0.0696787308741265</v>
      </c>
      <c r="G14" s="52" t="n">
        <f aca="false">MIN(MAX(F14,PISO_POP),TETO_POP)</f>
        <v>0.0696787308741265</v>
      </c>
      <c r="H14" s="52" t="n">
        <f aca="false">0.5*G14/G$33</f>
        <v>0.0411164073416733</v>
      </c>
      <c r="I14" s="53" t="n">
        <f aca="false">1/E14</f>
        <v>0.000682500682500682</v>
      </c>
      <c r="J14" s="52" t="n">
        <f aca="false">0.5*I14/I$33</f>
        <v>0.0238002121171611</v>
      </c>
      <c r="K14" s="54" t="n">
        <f aca="false">MIN(MAX((E14-VR*RDPC_NAC)/(VR*RDPC_NAC),0),1)</f>
        <v>0</v>
      </c>
      <c r="L14" s="61" t="n">
        <f aca="false">H14+J14*(1-K14)</f>
        <v>0.0649166194588344</v>
      </c>
      <c r="M14" s="52" t="n">
        <f aca="false">MAX(L14,COEF_MIN)</f>
        <v>0.0649166194588344</v>
      </c>
      <c r="N14" s="52" t="n">
        <f aca="false">M14/M$33</f>
        <v>0.0714990654079736</v>
      </c>
    </row>
    <row r="15" customFormat="false" ht="15" hidden="false" customHeight="false" outlineLevel="0" collapsed="false">
      <c r="A15" s="49" t="str">
        <f aca="false">Dados!A15</f>
        <v>CE</v>
      </c>
      <c r="B15" s="49" t="str">
        <f aca="false">Dados!B15</f>
        <v>Ceará</v>
      </c>
      <c r="C15" s="49" t="str">
        <f aca="false">Dados!C15</f>
        <v>Nordeste</v>
      </c>
      <c r="D15" s="50" t="n">
        <f aca="false">Dados!D15</f>
        <v>9268836</v>
      </c>
      <c r="E15" s="51" t="n">
        <f aca="false">Dados!E15</f>
        <v>1389.77</v>
      </c>
      <c r="F15" s="52" t="n">
        <f aca="false">D15/D$33</f>
        <v>0.0434298142783366</v>
      </c>
      <c r="G15" s="52" t="n">
        <f aca="false">MIN(MAX(F15,PISO_POP),TETO_POP)</f>
        <v>0.0434298142783366</v>
      </c>
      <c r="H15" s="52" t="n">
        <f aca="false">0.5*G15/G$33</f>
        <v>0.0256273027972783</v>
      </c>
      <c r="I15" s="53" t="n">
        <f aca="false">1/E15</f>
        <v>0.000719543521589903</v>
      </c>
      <c r="J15" s="52" t="n">
        <f aca="false">0.5*I15/I$33</f>
        <v>0.0250919726242935</v>
      </c>
      <c r="K15" s="54" t="n">
        <f aca="false">MIN(MAX((E15-VR*RDPC_NAC)/(VR*RDPC_NAC),0),1)</f>
        <v>0</v>
      </c>
      <c r="L15" s="61" t="n">
        <f aca="false">H15+J15*(1-K15)</f>
        <v>0.0507192754215718</v>
      </c>
      <c r="M15" s="52" t="n">
        <f aca="false">MAX(L15,COEF_MIN)</f>
        <v>0.0507192754215718</v>
      </c>
      <c r="N15" s="52" t="n">
        <f aca="false">M15/M$33</f>
        <v>0.0558621323944879</v>
      </c>
    </row>
    <row r="16" customFormat="false" ht="15" hidden="false" customHeight="false" outlineLevel="0" collapsed="false">
      <c r="A16" s="49" t="str">
        <f aca="false">Dados!A16</f>
        <v>MA</v>
      </c>
      <c r="B16" s="49" t="str">
        <f aca="false">Dados!B16</f>
        <v>Maranhão</v>
      </c>
      <c r="C16" s="49" t="str">
        <f aca="false">Dados!C16</f>
        <v>Nordeste</v>
      </c>
      <c r="D16" s="50" t="n">
        <f aca="false">Dados!D16</f>
        <v>7018211</v>
      </c>
      <c r="E16" s="51" t="n">
        <f aca="false">Dados!E16</f>
        <v>1219.42</v>
      </c>
      <c r="F16" s="52" t="n">
        <f aca="false">D16/D$33</f>
        <v>0.0328843449486191</v>
      </c>
      <c r="G16" s="52" t="n">
        <f aca="false">MIN(MAX(F16,PISO_POP),TETO_POP)</f>
        <v>0.0328843449486191</v>
      </c>
      <c r="H16" s="52" t="n">
        <f aca="false">0.5*G16/G$33</f>
        <v>0.0194045744678393</v>
      </c>
      <c r="I16" s="53" t="n">
        <f aca="false">1/E16</f>
        <v>0.00082006199668695</v>
      </c>
      <c r="J16" s="52" t="n">
        <f aca="false">0.5*I16/I$33</f>
        <v>0.0285972600039891</v>
      </c>
      <c r="K16" s="54" t="n">
        <f aca="false">MIN(MAX((E16-VR*RDPC_NAC)/(VR*RDPC_NAC),0),1)</f>
        <v>0</v>
      </c>
      <c r="L16" s="61" t="n">
        <f aca="false">H16+J16*(1-K16)</f>
        <v>0.0480018344718284</v>
      </c>
      <c r="M16" s="52" t="n">
        <f aca="false">MAX(L16,COEF_MIN)</f>
        <v>0.0480018344718284</v>
      </c>
      <c r="N16" s="52" t="n">
        <f aca="false">M16/M$33</f>
        <v>0.0528691470876787</v>
      </c>
    </row>
    <row r="17" customFormat="false" ht="15" hidden="false" customHeight="false" outlineLevel="0" collapsed="false">
      <c r="A17" s="49" t="str">
        <f aca="false">Dados!A17</f>
        <v>PB</v>
      </c>
      <c r="B17" s="49" t="str">
        <f aca="false">Dados!B17</f>
        <v>Paraíba</v>
      </c>
      <c r="C17" s="49" t="str">
        <f aca="false">Dados!C17</f>
        <v>Nordeste</v>
      </c>
      <c r="D17" s="50" t="n">
        <f aca="false">Dados!D17</f>
        <v>4164468</v>
      </c>
      <c r="E17" s="51" t="n">
        <f aca="false">Dados!E17</f>
        <v>1543.07</v>
      </c>
      <c r="F17" s="52" t="n">
        <f aca="false">D17/D$33</f>
        <v>0.019512921774436</v>
      </c>
      <c r="G17" s="52" t="n">
        <f aca="false">MIN(MAX(F17,PISO_POP),TETO_POP)</f>
        <v>0.019512921774436</v>
      </c>
      <c r="H17" s="52" t="n">
        <f aca="false">0.5*G17/G$33</f>
        <v>0.0115142918081166</v>
      </c>
      <c r="I17" s="53" t="n">
        <f aca="false">1/E17</f>
        <v>0.000648058740044198</v>
      </c>
      <c r="J17" s="52" t="n">
        <f aca="false">0.5*I17/I$33</f>
        <v>0.0225991502615335</v>
      </c>
      <c r="K17" s="54" t="n">
        <f aca="false">MIN(MAX((E17-VR*RDPC_NAC)/(VR*RDPC_NAC),0),1)</f>
        <v>0</v>
      </c>
      <c r="L17" s="61" t="n">
        <f aca="false">H17+J17*(1-K17)</f>
        <v>0.03411344206965</v>
      </c>
      <c r="M17" s="52" t="n">
        <f aca="false">MAX(L17,COEF_MIN)</f>
        <v>0.03411344206965</v>
      </c>
      <c r="N17" s="52" t="n">
        <f aca="false">M17/M$33</f>
        <v>0.0375724929326568</v>
      </c>
    </row>
    <row r="18" customFormat="false" ht="15" hidden="false" customHeight="false" outlineLevel="0" collapsed="false">
      <c r="A18" s="49" t="str">
        <f aca="false">Dados!A18</f>
        <v>PE</v>
      </c>
      <c r="B18" s="49" t="str">
        <f aca="false">Dados!B18</f>
        <v>Pernambuco</v>
      </c>
      <c r="C18" s="49" t="str">
        <f aca="false">Dados!C18</f>
        <v>Nordeste</v>
      </c>
      <c r="D18" s="50" t="n">
        <f aca="false">Dados!D18</f>
        <v>9562007</v>
      </c>
      <c r="E18" s="51" t="n">
        <f aca="false">Dados!E18</f>
        <v>1600.24</v>
      </c>
      <c r="F18" s="52" t="n">
        <f aca="false">D18/D$33</f>
        <v>0.044803488608295</v>
      </c>
      <c r="G18" s="52" t="n">
        <f aca="false">MIN(MAX(F18,PISO_POP),TETO_POP)</f>
        <v>0.044803488608295</v>
      </c>
      <c r="H18" s="52" t="n">
        <f aca="false">0.5*G18/G$33</f>
        <v>0.0264378880733994</v>
      </c>
      <c r="I18" s="53" t="n">
        <f aca="false">1/E18</f>
        <v>0.000624906264060391</v>
      </c>
      <c r="J18" s="52" t="n">
        <f aca="false">0.5*I18/I$33</f>
        <v>0.0217917754799683</v>
      </c>
      <c r="K18" s="54" t="n">
        <f aca="false">MIN(MAX((E18-VR*RDPC_NAC)/(VR*RDPC_NAC),0),1)</f>
        <v>0</v>
      </c>
      <c r="L18" s="61" t="n">
        <f aca="false">H18+J18*(1-K18)</f>
        <v>0.0482296635533676</v>
      </c>
      <c r="M18" s="52" t="n">
        <f aca="false">MAX(L18,COEF_MIN)</f>
        <v>0.0482296635533676</v>
      </c>
      <c r="N18" s="52" t="n">
        <f aca="false">M18/M$33</f>
        <v>0.0531200776897126</v>
      </c>
    </row>
    <row r="19" customFormat="false" ht="15" hidden="false" customHeight="false" outlineLevel="0" collapsed="false">
      <c r="A19" s="49" t="str">
        <f aca="false">Dados!A19</f>
        <v>PI</v>
      </c>
      <c r="B19" s="49" t="str">
        <f aca="false">Dados!B19</f>
        <v>Piauí</v>
      </c>
      <c r="C19" s="49" t="str">
        <f aca="false">Dados!C19</f>
        <v>Nordeste</v>
      </c>
      <c r="D19" s="50" t="n">
        <f aca="false">Dados!D19</f>
        <v>3384547</v>
      </c>
      <c r="E19" s="51" t="n">
        <f aca="false">Dados!E19</f>
        <v>1546.21</v>
      </c>
      <c r="F19" s="52" t="n">
        <f aca="false">D19/D$33</f>
        <v>0.0158585444414273</v>
      </c>
      <c r="G19" s="52" t="n">
        <f aca="false">MIN(MAX(F19,PISO_POP),TETO_POP)</f>
        <v>0.0158585444414273</v>
      </c>
      <c r="H19" s="52" t="n">
        <f aca="false">0.5*G19/G$33</f>
        <v>0.00935789680609517</v>
      </c>
      <c r="I19" s="53" t="n">
        <f aca="false">1/E19</f>
        <v>0.000646742680489714</v>
      </c>
      <c r="J19" s="52" t="n">
        <f aca="false">0.5*I19/I$33</f>
        <v>0.0225532565395803</v>
      </c>
      <c r="K19" s="54" t="n">
        <f aca="false">MIN(MAX((E19-VR*RDPC_NAC)/(VR*RDPC_NAC),0),1)</f>
        <v>0</v>
      </c>
      <c r="L19" s="61" t="n">
        <f aca="false">H19+J19*(1-K19)</f>
        <v>0.0319111533456754</v>
      </c>
      <c r="M19" s="52" t="n">
        <f aca="false">MAX(L19,COEF_MIN)</f>
        <v>0.0319111533456754</v>
      </c>
      <c r="N19" s="52" t="n">
        <f aca="false">M19/M$33</f>
        <v>0.0351468954995903</v>
      </c>
    </row>
    <row r="20" customFormat="false" ht="15" hidden="false" customHeight="false" outlineLevel="0" collapsed="false">
      <c r="A20" s="49" t="str">
        <f aca="false">Dados!A20</f>
        <v>RN</v>
      </c>
      <c r="B20" s="49" t="str">
        <f aca="false">Dados!B20</f>
        <v>Rio Grande do Norte</v>
      </c>
      <c r="C20" s="49" t="str">
        <f aca="false">Dados!C20</f>
        <v>Nordeste</v>
      </c>
      <c r="D20" s="50" t="n">
        <f aca="false">Dados!D20</f>
        <v>3455236</v>
      </c>
      <c r="E20" s="51" t="n">
        <f aca="false">Dados!E20</f>
        <v>1819.11</v>
      </c>
      <c r="F20" s="52" t="n">
        <f aca="false">D20/D$33</f>
        <v>0.0161897629613711</v>
      </c>
      <c r="G20" s="52" t="n">
        <f aca="false">MIN(MAX(F20,PISO_POP),TETO_POP)</f>
        <v>0.0161897629613711</v>
      </c>
      <c r="H20" s="52" t="n">
        <f aca="false">0.5*G20/G$33</f>
        <v>0.00955334404536413</v>
      </c>
      <c r="I20" s="53" t="n">
        <f aca="false">1/E20</f>
        <v>0.000549719368262502</v>
      </c>
      <c r="J20" s="52" t="n">
        <f aca="false">0.5*I20/I$33</f>
        <v>0.0191698527269183</v>
      </c>
      <c r="K20" s="54" t="n">
        <f aca="false">MIN(MAX((E20-VR*RDPC_NAC)/(VR*RDPC_NAC),0),1)</f>
        <v>0.09096869283106</v>
      </c>
      <c r="L20" s="61" t="n">
        <f aca="false">H20+J20*(1-K20)</f>
        <v>0.0269793403279508</v>
      </c>
      <c r="M20" s="52" t="n">
        <f aca="false">MAX(L20,COEF_MIN)</f>
        <v>0.0269793403279508</v>
      </c>
      <c r="N20" s="52" t="n">
        <f aca="false">M20/M$33</f>
        <v>0.0297150041831024</v>
      </c>
    </row>
    <row r="21" customFormat="false" ht="15" hidden="false" customHeight="false" outlineLevel="0" collapsed="false">
      <c r="A21" s="49" t="str">
        <f aca="false">Dados!A21</f>
        <v>SE</v>
      </c>
      <c r="B21" s="49" t="str">
        <f aca="false">Dados!B21</f>
        <v>Sergipe</v>
      </c>
      <c r="C21" s="49" t="str">
        <f aca="false">Dados!C21</f>
        <v>Nordeste</v>
      </c>
      <c r="D21" s="50" t="n">
        <f aca="false">Dados!D21</f>
        <v>2299425</v>
      </c>
      <c r="E21" s="51" t="n">
        <f aca="false">Dados!E21</f>
        <v>1696.78</v>
      </c>
      <c r="F21" s="52" t="n">
        <f aca="false">D21/D$33</f>
        <v>0.0107741253267362</v>
      </c>
      <c r="G21" s="52" t="n">
        <f aca="false">MIN(MAX(F21,PISO_POP),TETO_POP)</f>
        <v>0.012</v>
      </c>
      <c r="H21" s="52" t="n">
        <f aca="false">0.5*G21/G$33</f>
        <v>0.00708102575793742</v>
      </c>
      <c r="I21" s="53" t="n">
        <f aca="false">1/E21</f>
        <v>0.000589351595374769</v>
      </c>
      <c r="J21" s="52" t="n">
        <f aca="false">0.5*I21/I$33</f>
        <v>0.0205519105565037</v>
      </c>
      <c r="K21" s="54" t="n">
        <f aca="false">MIN(MAX((E21-VR*RDPC_NAC)/(VR*RDPC_NAC),0),1)</f>
        <v>0.0176041353309508</v>
      </c>
      <c r="L21" s="61" t="n">
        <f aca="false">H21+J21*(1-K21)</f>
        <v>0.0272711376996949</v>
      </c>
      <c r="M21" s="52" t="n">
        <f aca="false">MAX(L21,COEF_MIN)</f>
        <v>0.0272711376996949</v>
      </c>
      <c r="N21" s="52" t="n">
        <f aca="false">M21/M$33</f>
        <v>0.0300363893621541</v>
      </c>
    </row>
    <row r="22" customFormat="false" ht="15" hidden="false" customHeight="false" outlineLevel="0" collapsed="false">
      <c r="A22" s="49" t="str">
        <f aca="false">Dados!A22</f>
        <v>DF</v>
      </c>
      <c r="B22" s="49" t="str">
        <f aca="false">Dados!B22</f>
        <v>Distrito Federal</v>
      </c>
      <c r="C22" s="49" t="str">
        <f aca="false">Dados!C22</f>
        <v>Centro-Oeste</v>
      </c>
      <c r="D22" s="50" t="n">
        <f aca="false">Dados!D22</f>
        <v>2996899</v>
      </c>
      <c r="E22" s="51" t="n">
        <f aca="false">Dados!E22</f>
        <v>4537.77</v>
      </c>
      <c r="F22" s="52" t="n">
        <f aca="false">D22/D$33</f>
        <v>0.014042191164126</v>
      </c>
      <c r="G22" s="52" t="n">
        <f aca="false">MIN(MAX(F22,PISO_POP),TETO_POP)</f>
        <v>0.014042191164126</v>
      </c>
      <c r="H22" s="52" t="n">
        <f aca="false">0.5*G22/G$33</f>
        <v>0.00828609311092143</v>
      </c>
      <c r="I22" s="53" t="n">
        <f aca="false">1/E22</f>
        <v>0.000220372561853069</v>
      </c>
      <c r="J22" s="52" t="n">
        <f aca="false">0.5*I22/I$33</f>
        <v>0.00768484757800955</v>
      </c>
      <c r="K22" s="54" t="n">
        <f aca="false">MIN(MAX((E22-VR*RDPC_NAC)/(VR*RDPC_NAC),0),1)</f>
        <v>1</v>
      </c>
      <c r="L22" s="61" t="n">
        <f aca="false">H22+J22*(1-K22)</f>
        <v>0.00828609311092143</v>
      </c>
      <c r="M22" s="52" t="n">
        <f aca="false">MAX(L22,COEF_MIN)</f>
        <v>0.00828609311092143</v>
      </c>
      <c r="N22" s="52" t="n">
        <f aca="false">M22/M$33</f>
        <v>0.00912629028210596</v>
      </c>
    </row>
    <row r="23" customFormat="false" ht="15" hidden="false" customHeight="false" outlineLevel="0" collapsed="false">
      <c r="A23" s="49" t="str">
        <f aca="false">Dados!A23</f>
        <v>GO</v>
      </c>
      <c r="B23" s="49" t="str">
        <f aca="false">Dados!B23</f>
        <v>Goiás</v>
      </c>
      <c r="C23" s="49" t="str">
        <f aca="false">Dados!C23</f>
        <v>Centro-Oeste</v>
      </c>
      <c r="D23" s="50" t="n">
        <f aca="false">Dados!D23</f>
        <v>7423629</v>
      </c>
      <c r="E23" s="51" t="n">
        <f aca="false">Dados!E23</f>
        <v>2406.89</v>
      </c>
      <c r="F23" s="52" t="n">
        <f aca="false">D23/D$33</f>
        <v>0.0347839608707365</v>
      </c>
      <c r="G23" s="52" t="n">
        <f aca="false">MIN(MAX(F23,PISO_POP),TETO_POP)</f>
        <v>0.0347839608707365</v>
      </c>
      <c r="H23" s="52" t="n">
        <f aca="false">0.5*G23/G$33</f>
        <v>0.020525510240731</v>
      </c>
      <c r="I23" s="53" t="n">
        <f aca="false">1/E23</f>
        <v>0.000415473910315802</v>
      </c>
      <c r="J23" s="52" t="n">
        <f aca="false">0.5*I23/I$33</f>
        <v>0.0144884356136194</v>
      </c>
      <c r="K23" s="54" t="n">
        <f aca="false">MIN(MAX((E23-VR*RDPC_NAC)/(VR*RDPC_NAC),0),1)</f>
        <v>0.443476005897472</v>
      </c>
      <c r="L23" s="61" t="n">
        <f aca="false">H23+J23*(1-K23)</f>
        <v>0.0285886722967198</v>
      </c>
      <c r="M23" s="52" t="n">
        <f aca="false">MAX(L23,COEF_MIN)</f>
        <v>0.0285886722967198</v>
      </c>
      <c r="N23" s="52" t="n">
        <f aca="false">M23/M$33</f>
        <v>0.0314875199526755</v>
      </c>
    </row>
    <row r="24" customFormat="false" ht="15" hidden="false" customHeight="false" outlineLevel="0" collapsed="false">
      <c r="A24" s="49" t="str">
        <f aca="false">Dados!A24</f>
        <v>MT</v>
      </c>
      <c r="B24" s="49" t="str">
        <f aca="false">Dados!B24</f>
        <v>Mato Grosso</v>
      </c>
      <c r="C24" s="49" t="str">
        <f aca="false">Dados!C24</f>
        <v>Centro-Oeste</v>
      </c>
      <c r="D24" s="50" t="n">
        <f aca="false">Dados!D24</f>
        <v>3893659</v>
      </c>
      <c r="E24" s="51" t="n">
        <f aca="false">Dados!E24</f>
        <v>2334.96</v>
      </c>
      <c r="F24" s="52" t="n">
        <f aca="false">D24/D$33</f>
        <v>0.0182440262437672</v>
      </c>
      <c r="G24" s="52" t="n">
        <f aca="false">MIN(MAX(F24,PISO_POP),TETO_POP)</f>
        <v>0.0182440262437672</v>
      </c>
      <c r="H24" s="52" t="n">
        <f aca="false">0.5*G24/G$33</f>
        <v>0.0107655349800501</v>
      </c>
      <c r="I24" s="53" t="n">
        <f aca="false">1/E24</f>
        <v>0.000428272861205331</v>
      </c>
      <c r="J24" s="52" t="n">
        <f aca="false">0.5*I24/I$33</f>
        <v>0.0149347615351288</v>
      </c>
      <c r="K24" s="54" t="n">
        <f aca="false">MIN(MAX((E24-VR*RDPC_NAC)/(VR*RDPC_NAC),0),1)</f>
        <v>0.400337670076473</v>
      </c>
      <c r="L24" s="61" t="n">
        <f aca="false">H24+J24*(1-K24)</f>
        <v>0.0197213488790578</v>
      </c>
      <c r="M24" s="52" t="n">
        <f aca="false">MAX(L24,COEF_MIN)</f>
        <v>0.0197213488790578</v>
      </c>
      <c r="N24" s="52" t="n">
        <f aca="false">M24/M$33</f>
        <v>0.0217210634994846</v>
      </c>
    </row>
    <row r="25" customFormat="false" ht="15" hidden="false" customHeight="false" outlineLevel="0" collapsed="false">
      <c r="A25" s="49" t="str">
        <f aca="false">Dados!A25</f>
        <v>MS</v>
      </c>
      <c r="B25" s="49" t="str">
        <f aca="false">Dados!B25</f>
        <v>Mato Grosso do Sul</v>
      </c>
      <c r="C25" s="49" t="str">
        <f aca="false">Dados!C25</f>
        <v>Centro-Oeste</v>
      </c>
      <c r="D25" s="50" t="n">
        <f aca="false">Dados!D25</f>
        <v>2924631</v>
      </c>
      <c r="E25" s="51" t="n">
        <f aca="false">Dados!E25</f>
        <v>2454.02</v>
      </c>
      <c r="F25" s="52" t="n">
        <f aca="false">D25/D$33</f>
        <v>0.0137035741232951</v>
      </c>
      <c r="G25" s="52" t="n">
        <f aca="false">MIN(MAX(F25,PISO_POP),TETO_POP)</f>
        <v>0.0137035741232951</v>
      </c>
      <c r="H25" s="52" t="n">
        <f aca="false">0.5*G25/G$33</f>
        <v>0.00808628011190476</v>
      </c>
      <c r="I25" s="53" t="n">
        <f aca="false">1/E25</f>
        <v>0.000407494641445465</v>
      </c>
      <c r="J25" s="52" t="n">
        <f aca="false">0.5*I25/I$33</f>
        <v>0.0142101819846882</v>
      </c>
      <c r="K25" s="54" t="n">
        <f aca="false">MIN(MAX((E25-VR*RDPC_NAC)/(VR*RDPC_NAC),0),1)</f>
        <v>0.471741121527163</v>
      </c>
      <c r="L25" s="61" t="n">
        <f aca="false">H25+J25*(1-K25)</f>
        <v>0.015592934910031</v>
      </c>
      <c r="M25" s="52" t="n">
        <f aca="false">MAX(L25,COEF_MIN)</f>
        <v>0.015592934910031</v>
      </c>
      <c r="N25" s="52" t="n">
        <f aca="false">M25/M$33</f>
        <v>0.0171740346667553</v>
      </c>
    </row>
    <row r="26" customFormat="false" ht="15" hidden="false" customHeight="false" outlineLevel="0" collapsed="false">
      <c r="A26" s="49" t="str">
        <f aca="false">Dados!A26</f>
        <v>ES</v>
      </c>
      <c r="B26" s="49" t="str">
        <f aca="false">Dados!B26</f>
        <v>Espírito Santo</v>
      </c>
      <c r="C26" s="49" t="str">
        <f aca="false">Dados!C26</f>
        <v>Sudeste</v>
      </c>
      <c r="D26" s="50" t="n">
        <f aca="false">Dados!D26</f>
        <v>4126854</v>
      </c>
      <c r="E26" s="51" t="n">
        <f aca="false">Dados!E26</f>
        <v>2248.85</v>
      </c>
      <c r="F26" s="52" t="n">
        <f aca="false">D26/D$33</f>
        <v>0.0193366786049306</v>
      </c>
      <c r="G26" s="52" t="n">
        <f aca="false">MIN(MAX(F26,PISO_POP),TETO_POP)</f>
        <v>0.0193366786049306</v>
      </c>
      <c r="H26" s="52" t="n">
        <f aca="false">0.5*G26/G$33</f>
        <v>0.0114102932728726</v>
      </c>
      <c r="I26" s="53" t="n">
        <f aca="false">1/E26</f>
        <v>0.000444671721101897</v>
      </c>
      <c r="J26" s="52" t="n">
        <f aca="false">0.5*I26/I$33</f>
        <v>0.0155066237383838</v>
      </c>
      <c r="K26" s="54" t="n">
        <f aca="false">MIN(MAX((E26-VR*RDPC_NAC)/(VR*RDPC_NAC),0),1)</f>
        <v>0.34869521077512</v>
      </c>
      <c r="L26" s="61" t="n">
        <f aca="false">H26+J26*(1-K26)</f>
        <v>0.0215098315783902</v>
      </c>
      <c r="M26" s="52" t="n">
        <f aca="false">MAX(L26,COEF_MIN)</f>
        <v>0.0215098315783902</v>
      </c>
      <c r="N26" s="52" t="n">
        <f aca="false">M26/M$33</f>
        <v>0.0236908956097608</v>
      </c>
    </row>
    <row r="27" customFormat="false" ht="15" hidden="false" customHeight="false" outlineLevel="0" collapsed="false">
      <c r="A27" s="49" t="str">
        <f aca="false">Dados!A27</f>
        <v>MG</v>
      </c>
      <c r="B27" s="49" t="str">
        <f aca="false">Dados!B27</f>
        <v>Minas Gerais</v>
      </c>
      <c r="C27" s="49" t="str">
        <f aca="false">Dados!C27</f>
        <v>Sudeste</v>
      </c>
      <c r="D27" s="50" t="n">
        <f aca="false">Dados!D27</f>
        <v>21393441</v>
      </c>
      <c r="E27" s="51" t="n">
        <f aca="false">Dados!E27</f>
        <v>2352.69</v>
      </c>
      <c r="F27" s="52" t="n">
        <f aca="false">D27/D$33</f>
        <v>0.100240544703192</v>
      </c>
      <c r="G27" s="52" t="n">
        <f aca="false">MIN(MAX(F27,PISO_POP),TETO_POP)</f>
        <v>0.07</v>
      </c>
      <c r="H27" s="52" t="n">
        <f aca="false">0.5*G27/G$33</f>
        <v>0.0413059835879683</v>
      </c>
      <c r="I27" s="53" t="n">
        <f aca="false">1/E27</f>
        <v>0.000425045373593631</v>
      </c>
      <c r="J27" s="52" t="n">
        <f aca="false">0.5*I27/I$33</f>
        <v>0.0148222123586467</v>
      </c>
      <c r="K27" s="54" t="n">
        <f aca="false">MIN(MAX((E27-VR*RDPC_NAC)/(VR*RDPC_NAC),0),1)</f>
        <v>0.410970823060017</v>
      </c>
      <c r="L27" s="61" t="n">
        <f aca="false">H27+J27*(1-K27)</f>
        <v>0.0500366991340116</v>
      </c>
      <c r="M27" s="52" t="n">
        <f aca="false">MAX(L27,COEF_MIN)</f>
        <v>0.0500366991340116</v>
      </c>
      <c r="N27" s="52" t="n">
        <f aca="false">M27/M$33</f>
        <v>0.0551103439150962</v>
      </c>
    </row>
    <row r="28" customFormat="false" ht="15" hidden="false" customHeight="false" outlineLevel="0" collapsed="false">
      <c r="A28" s="49" t="str">
        <f aca="false">Dados!A28</f>
        <v>RJ</v>
      </c>
      <c r="B28" s="49" t="str">
        <f aca="false">Dados!B28</f>
        <v>Rio de Janeiro</v>
      </c>
      <c r="C28" s="49" t="str">
        <f aca="false">Dados!C28</f>
        <v>Sudeste</v>
      </c>
      <c r="D28" s="50" t="n">
        <f aca="false">Dados!D28</f>
        <v>17223547</v>
      </c>
      <c r="E28" s="51" t="n">
        <f aca="false">Dados!E28</f>
        <v>2793.73</v>
      </c>
      <c r="F28" s="52" t="n">
        <f aca="false">D28/D$33</f>
        <v>0.0807021990058084</v>
      </c>
      <c r="G28" s="52" t="n">
        <f aca="false">MIN(MAX(F28,PISO_POP),TETO_POP)</f>
        <v>0.07</v>
      </c>
      <c r="H28" s="52" t="n">
        <f aca="false">0.5*G28/G$33</f>
        <v>0.0413059835879683</v>
      </c>
      <c r="I28" s="53" t="n">
        <f aca="false">1/E28</f>
        <v>0.000357944396917383</v>
      </c>
      <c r="J28" s="52" t="n">
        <f aca="false">0.5*I28/I$33</f>
        <v>0.0124822623496417</v>
      </c>
      <c r="K28" s="54" t="n">
        <f aca="false">MIN(MAX((E28-VR*RDPC_NAC)/(VR*RDPC_NAC),0),1)</f>
        <v>0.675474251817052</v>
      </c>
      <c r="L28" s="61" t="n">
        <f aca="false">H28+J28*(1-K28)</f>
        <v>0.0453567991160016</v>
      </c>
      <c r="M28" s="52" t="n">
        <f aca="false">MAX(L28,COEF_MIN)</f>
        <v>0.0453567991160016</v>
      </c>
      <c r="N28" s="52" t="n">
        <f aca="false">M28/M$33</f>
        <v>0.049955909191294</v>
      </c>
    </row>
    <row r="29" customFormat="false" ht="15" hidden="false" customHeight="false" outlineLevel="0" collapsed="false">
      <c r="A29" s="49" t="str">
        <f aca="false">Dados!A29</f>
        <v>SP</v>
      </c>
      <c r="B29" s="49" t="str">
        <f aca="false">Dados!B29</f>
        <v>São Paulo</v>
      </c>
      <c r="C29" s="49" t="str">
        <f aca="false">Dados!C29</f>
        <v>Sudeste</v>
      </c>
      <c r="D29" s="50" t="n">
        <f aca="false">Dados!D29</f>
        <v>46081801</v>
      </c>
      <c r="E29" s="51" t="n">
        <f aca="false">Dados!E29</f>
        <v>2956.42</v>
      </c>
      <c r="F29" s="52" t="n">
        <f aca="false">D29/D$33</f>
        <v>0.215919675247384</v>
      </c>
      <c r="G29" s="52" t="n">
        <f aca="false">MIN(MAX(F29,PISO_POP),TETO_POP)</f>
        <v>0.07</v>
      </c>
      <c r="H29" s="52" t="n">
        <f aca="false">0.5*G29/G$33</f>
        <v>0.0413059835879683</v>
      </c>
      <c r="I29" s="53" t="n">
        <f aca="false">1/E29</f>
        <v>0.000338246933791545</v>
      </c>
      <c r="J29" s="52" t="n">
        <f aca="false">0.5*I29/I$33</f>
        <v>0.011795371021054</v>
      </c>
      <c r="K29" s="54" t="n">
        <f aca="false">MIN(MAX((E29-VR*RDPC_NAC)/(VR*RDPC_NAC),0),1)</f>
        <v>0.773043775725274</v>
      </c>
      <c r="L29" s="61" t="n">
        <f aca="false">H29+J29*(1-K29)</f>
        <v>0.0439830164588262</v>
      </c>
      <c r="M29" s="52" t="n">
        <f aca="false">MAX(L29,COEF_MIN)</f>
        <v>0.0439830164588262</v>
      </c>
      <c r="N29" s="52" t="n">
        <f aca="false">M29/M$33</f>
        <v>0.0484428270733317</v>
      </c>
    </row>
    <row r="30" customFormat="false" ht="15" hidden="false" customHeight="false" outlineLevel="0" collapsed="false">
      <c r="A30" s="49" t="str">
        <f aca="false">Dados!A30</f>
        <v>PR</v>
      </c>
      <c r="B30" s="49" t="str">
        <f aca="false">Dados!B30</f>
        <v>Paraná</v>
      </c>
      <c r="C30" s="49" t="str">
        <f aca="false">Dados!C30</f>
        <v>Sul</v>
      </c>
      <c r="D30" s="50" t="n">
        <f aca="false">Dados!D30</f>
        <v>11890517</v>
      </c>
      <c r="E30" s="51" t="n">
        <f aca="false">Dados!E30</f>
        <v>2761.75</v>
      </c>
      <c r="F30" s="52" t="n">
        <f aca="false">D30/D$33</f>
        <v>0.055713893846369</v>
      </c>
      <c r="G30" s="52" t="n">
        <f aca="false">MIN(MAX(F30,PISO_POP),TETO_POP)</f>
        <v>0.055713893846369</v>
      </c>
      <c r="H30" s="52" t="n">
        <f aca="false">0.5*G30/G$33</f>
        <v>0.0328759597834275</v>
      </c>
      <c r="I30" s="53" t="n">
        <f aca="false">1/E30</f>
        <v>0.000362089255001358</v>
      </c>
      <c r="J30" s="52" t="n">
        <f aca="false">0.5*I30/I$33</f>
        <v>0.0126268021341774</v>
      </c>
      <c r="K30" s="54" t="n">
        <f aca="false">MIN(MAX((E30-VR*RDPC_NAC)/(VR*RDPC_NAC),0),1)</f>
        <v>0.656294994489712</v>
      </c>
      <c r="L30" s="61" t="n">
        <f aca="false">H30+J30*(1-K30)</f>
        <v>0.0372158548805323</v>
      </c>
      <c r="M30" s="52" t="n">
        <f aca="false">MAX(L30,COEF_MIN)</f>
        <v>0.0372158548805323</v>
      </c>
      <c r="N30" s="52" t="n">
        <f aca="false">M30/M$33</f>
        <v>0.0409894856586639</v>
      </c>
    </row>
    <row r="31" customFormat="false" ht="15" hidden="false" customHeight="false" outlineLevel="0" collapsed="false">
      <c r="A31" s="49" t="str">
        <f aca="false">Dados!A31</f>
        <v>RS</v>
      </c>
      <c r="B31" s="49" t="str">
        <f aca="false">Dados!B31</f>
        <v>Rio Grande do Sul</v>
      </c>
      <c r="C31" s="49" t="str">
        <f aca="false">Dados!C31</f>
        <v>Sul</v>
      </c>
      <c r="D31" s="50" t="n">
        <f aca="false">Dados!D31</f>
        <v>11233263</v>
      </c>
      <c r="E31" s="51" t="n">
        <f aca="false">Dados!E31</f>
        <v>2839.14</v>
      </c>
      <c r="F31" s="52" t="n">
        <f aca="false">D31/D$33</f>
        <v>0.0526342817835713</v>
      </c>
      <c r="G31" s="52" t="n">
        <f aca="false">MIN(MAX(F31,PISO_POP),TETO_POP)</f>
        <v>0.0526342817835713</v>
      </c>
      <c r="H31" s="52" t="n">
        <f aca="false">0.5*G31/G$33</f>
        <v>0.0310587254216671</v>
      </c>
      <c r="I31" s="53" t="n">
        <f aca="false">1/E31</f>
        <v>0.000352219334023683</v>
      </c>
      <c r="J31" s="52" t="n">
        <f aca="false">0.5*I31/I$33</f>
        <v>0.0122826175511121</v>
      </c>
      <c r="K31" s="54" t="n">
        <f aca="false">MIN(MAX((E31-VR*RDPC_NAC)/(VR*RDPC_NAC),0),1)</f>
        <v>0.702707837659282</v>
      </c>
      <c r="L31" s="61" t="n">
        <f aca="false">H31+J31*(1-K31)</f>
        <v>0.0347102513526413</v>
      </c>
      <c r="M31" s="52" t="n">
        <f aca="false">MAX(L31,COEF_MIN)</f>
        <v>0.0347102513526413</v>
      </c>
      <c r="N31" s="52" t="n">
        <f aca="false">M31/M$33</f>
        <v>0.0382298177643624</v>
      </c>
    </row>
    <row r="32" customFormat="false" ht="15" hidden="false" customHeight="false" outlineLevel="0" collapsed="false">
      <c r="A32" s="49" t="str">
        <f aca="false">Dados!A32</f>
        <v>SC</v>
      </c>
      <c r="B32" s="49" t="str">
        <f aca="false">Dados!B32</f>
        <v>Santa Catarina</v>
      </c>
      <c r="C32" s="49" t="str">
        <f aca="false">Dados!C32</f>
        <v>Sul</v>
      </c>
      <c r="D32" s="50" t="n">
        <f aca="false">Dados!D32</f>
        <v>8187029</v>
      </c>
      <c r="E32" s="51" t="n">
        <f aca="false">Dados!E32</f>
        <v>2809.45</v>
      </c>
      <c r="F32" s="52" t="n">
        <f aca="false">D32/D$33</f>
        <v>0.0383609278404921</v>
      </c>
      <c r="G32" s="52" t="n">
        <f aca="false">MIN(MAX(F32,PISO_POP),TETO_POP)</f>
        <v>0.0383609278404921</v>
      </c>
      <c r="H32" s="52" t="n">
        <f aca="false">0.5*G32/G$33</f>
        <v>0.0226362265114086</v>
      </c>
      <c r="I32" s="53" t="n">
        <f aca="false">1/E32</f>
        <v>0.000355941554396768</v>
      </c>
      <c r="J32" s="52" t="n">
        <f aca="false">0.5*I32/I$33</f>
        <v>0.0124124190834734</v>
      </c>
      <c r="K32" s="54" t="n">
        <f aca="false">MIN(MAX((E32-VR*RDPC_NAC)/(VR*RDPC_NAC),0),1)</f>
        <v>0.684901954293155</v>
      </c>
      <c r="L32" s="61" t="n">
        <f aca="false">H32+J32*(1-K32)</f>
        <v>0.0265473555071054</v>
      </c>
      <c r="M32" s="52" t="n">
        <f aca="false">MAX(L32,COEF_MIN)</f>
        <v>0.0265473555071054</v>
      </c>
      <c r="N32" s="52" t="n">
        <f aca="false">M32/M$33</f>
        <v>0.0292392167619713</v>
      </c>
    </row>
    <row r="33" customFormat="false" ht="15" hidden="false" customHeight="false" outlineLevel="0" collapsed="false">
      <c r="A33" s="43"/>
      <c r="B33" s="43" t="s">
        <v>180</v>
      </c>
      <c r="C33" s="43"/>
      <c r="D33" s="44" t="n">
        <f aca="false">SUM(D6:D32)</f>
        <v>213421037</v>
      </c>
      <c r="E33" s="56" t="n">
        <f aca="false">RDPC_NAC</f>
        <v>2315.87</v>
      </c>
      <c r="F33" s="45" t="n">
        <f aca="false">SUM(F6:F32)</f>
        <v>1</v>
      </c>
      <c r="G33" s="45" t="n">
        <f aca="false">SUM(G6:G32)</f>
        <v>0.847334864341419</v>
      </c>
      <c r="H33" s="45" t="n">
        <f aca="false">SUM(H6:H32)</f>
        <v>0.5</v>
      </c>
      <c r="I33" s="57" t="n">
        <f aca="false">SUM(I6:I32)</f>
        <v>0.0143381218440605</v>
      </c>
      <c r="J33" s="45" t="n">
        <f aca="false">SUM(J6:J32)</f>
        <v>0.5</v>
      </c>
      <c r="K33" s="58"/>
      <c r="L33" s="45" t="n">
        <f aca="false">SUM(L6:L32)</f>
        <v>0.907936615512667</v>
      </c>
      <c r="M33" s="45" t="n">
        <f aca="false">SUM(M6:M32)</f>
        <v>0.907936615512667</v>
      </c>
      <c r="N33" s="45" t="n">
        <f aca="false">SUM(N6:N32)</f>
        <v>1</v>
      </c>
    </row>
    <row r="34" customFormat="false" ht="15" hidden="false" customHeight="false" outlineLevel="0" collapsed="false">
      <c r="E34" s="59" t="s">
        <v>181</v>
      </c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Q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4" min="11" style="0" width="14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1"/>
  </cols>
  <sheetData>
    <row r="1" customFormat="false" ht="18.55" hidden="false" customHeight="false" outlineLevel="0" collapsed="false">
      <c r="A1" s="23" t="s">
        <v>185</v>
      </c>
    </row>
    <row r="2" customFormat="false" ht="42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20" hidden="false" customHeight="true" outlineLevel="0" collapsed="false">
      <c r="A4" s="47"/>
      <c r="B4" s="47"/>
      <c r="C4" s="48" t="s">
        <v>155</v>
      </c>
      <c r="D4" s="48" t="s">
        <v>187</v>
      </c>
      <c r="E4" s="48" t="s">
        <v>188</v>
      </c>
      <c r="F4" s="48" t="s">
        <v>189</v>
      </c>
      <c r="G4" s="48" t="s">
        <v>190</v>
      </c>
      <c r="H4" s="48" t="s">
        <v>191</v>
      </c>
      <c r="I4" s="48" t="s">
        <v>192</v>
      </c>
      <c r="J4" s="48" t="s">
        <v>193</v>
      </c>
      <c r="K4" s="48" t="s">
        <v>194</v>
      </c>
      <c r="L4" s="48" t="s">
        <v>195</v>
      </c>
      <c r="M4" s="48" t="s">
        <v>196</v>
      </c>
      <c r="N4" s="48" t="s">
        <v>197</v>
      </c>
      <c r="O4" s="48" t="s">
        <v>198</v>
      </c>
      <c r="P4" s="48" t="s">
        <v>199</v>
      </c>
      <c r="Q4" s="47"/>
    </row>
    <row r="5" customFormat="false" ht="42" hidden="false" customHeight="true" outlineLevel="0" collapsed="false">
      <c r="A5" s="24" t="s">
        <v>82</v>
      </c>
      <c r="B5" s="24" t="s">
        <v>83</v>
      </c>
      <c r="C5" s="24" t="s">
        <v>167</v>
      </c>
      <c r="D5" s="24" t="s">
        <v>200</v>
      </c>
      <c r="E5" s="24" t="s">
        <v>201</v>
      </c>
      <c r="F5" s="24" t="s">
        <v>202</v>
      </c>
      <c r="G5" s="24" t="s">
        <v>203</v>
      </c>
      <c r="H5" s="24" t="s">
        <v>204</v>
      </c>
      <c r="I5" s="24" t="s">
        <v>205</v>
      </c>
      <c r="J5" s="24" t="s">
        <v>206</v>
      </c>
      <c r="K5" s="24" t="s">
        <v>207</v>
      </c>
      <c r="L5" s="24" t="s">
        <v>208</v>
      </c>
      <c r="M5" s="24" t="s">
        <v>209</v>
      </c>
      <c r="N5" s="24" t="s">
        <v>210</v>
      </c>
      <c r="O5" s="24" t="s">
        <v>211</v>
      </c>
      <c r="P5" s="24" t="s">
        <v>212</v>
      </c>
      <c r="Q5" s="24" t="s">
        <v>213</v>
      </c>
    </row>
    <row r="6" customFormat="false" ht="15" hidden="false" customHeight="false" outlineLevel="0" collapsed="false">
      <c r="A6" s="49" t="str">
        <f aca="false">Dados!A6</f>
        <v>AC</v>
      </c>
      <c r="B6" s="49" t="str">
        <f aca="false">Dados!B6</f>
        <v>Acre</v>
      </c>
      <c r="C6" s="50" t="n">
        <f aca="false">Dados!D6</f>
        <v>884372</v>
      </c>
      <c r="D6" s="8" t="str">
        <f aca="false">IF(C6&lt;POP_PEQ,"Pequena: perda zero","Demais")</f>
        <v>Pequena: perda zero</v>
      </c>
      <c r="E6" s="55" t="n">
        <f aca="false">'1 Regra atual'!P6</f>
        <v>0.0374232283998617</v>
      </c>
      <c r="F6" s="55" t="n">
        <f aca="false">'2 Fórmula nova'!N6</f>
        <v>0.0354003370223452</v>
      </c>
      <c r="G6" s="62" t="n">
        <f aca="false">F6/E6-1</f>
        <v>-0.0540544326080654</v>
      </c>
      <c r="H6" s="54" t="n">
        <f aca="false">IF(C6&lt;POP_PEQ,PERDA_PEQ,PERDA_MAX)</f>
        <v>0</v>
      </c>
      <c r="I6" s="52" t="n">
        <f aca="false">E6*(1-H6)</f>
        <v>0.0374232283998617</v>
      </c>
      <c r="J6" s="63" t="n">
        <f aca="false">GANHO_MAX</f>
        <v>0.1</v>
      </c>
      <c r="K6" s="52" t="n">
        <f aca="false">E6*(1+J6)</f>
        <v>0.0411655512398479</v>
      </c>
      <c r="L6" s="52" t="n">
        <f aca="false">MAX(F6-K6,0)</f>
        <v>0</v>
      </c>
      <c r="M6" s="52" t="n">
        <f aca="false">MAX(I6-F6,0)</f>
        <v>0.00202289137751657</v>
      </c>
      <c r="N6" s="52" t="n">
        <f aca="false">F6-L6+M6</f>
        <v>0.0374232283998617</v>
      </c>
      <c r="O6" s="64" t="n">
        <f aca="false">N6/N$33</f>
        <v>0.0375476132199031</v>
      </c>
      <c r="P6" s="65" t="n">
        <f aca="false">O6/E6-1</f>
        <v>0.00332373302250466</v>
      </c>
      <c r="Q6" s="66" t="str">
        <f aca="false">IF(P6&gt;0.00005,"Ganha",IF(P6&lt;-0.00005,"Perde","Mantém"))</f>
        <v>Ganha</v>
      </c>
    </row>
    <row r="7" customFormat="false" ht="15" hidden="false" customHeight="false" outlineLevel="0" collapsed="false">
      <c r="A7" s="49" t="str">
        <f aca="false">Dados!A7</f>
        <v>AP</v>
      </c>
      <c r="B7" s="49" t="str">
        <f aca="false">Dados!B7</f>
        <v>Amapá</v>
      </c>
      <c r="C7" s="50" t="n">
        <f aca="false">Dados!D7</f>
        <v>806517</v>
      </c>
      <c r="D7" s="8" t="str">
        <f aca="false">IF(C7&lt;POP_PEQ,"Pequena: perda zero","Demais")</f>
        <v>Pequena: perda zero</v>
      </c>
      <c r="E7" s="55" t="n">
        <f aca="false">'1 Regra atual'!P7</f>
        <v>0.0349686417904938</v>
      </c>
      <c r="F7" s="55" t="n">
        <f aca="false">'2 Fórmula nova'!N7</f>
        <v>0.0300241194560523</v>
      </c>
      <c r="G7" s="62" t="n">
        <f aca="false">F7/E7-1</f>
        <v>-0.141398752747259</v>
      </c>
      <c r="H7" s="54" t="n">
        <f aca="false">IF(C7&lt;POP_PEQ,PERDA_PEQ,PERDA_MAX)</f>
        <v>0</v>
      </c>
      <c r="I7" s="52" t="n">
        <f aca="false">E7*(1-H7)</f>
        <v>0.0349686417904938</v>
      </c>
      <c r="J7" s="63" t="n">
        <f aca="false">GANHO_MAX</f>
        <v>0.1</v>
      </c>
      <c r="K7" s="52" t="n">
        <f aca="false">E7*(1+J7)</f>
        <v>0.0384655059695432</v>
      </c>
      <c r="L7" s="52" t="n">
        <f aca="false">MAX(F7-K7,0)</f>
        <v>0</v>
      </c>
      <c r="M7" s="52" t="n">
        <f aca="false">MAX(I7-F7,0)</f>
        <v>0.00494452233444149</v>
      </c>
      <c r="N7" s="52" t="n">
        <f aca="false">F7-L7+M7</f>
        <v>0.0349686417904938</v>
      </c>
      <c r="O7" s="64" t="n">
        <f aca="false">N7/N$33</f>
        <v>0.035084868219965</v>
      </c>
      <c r="P7" s="65" t="n">
        <f aca="false">O7/E7-1</f>
        <v>0.00332373302250466</v>
      </c>
      <c r="Q7" s="66" t="str">
        <f aca="false">IF(P7&gt;0.00005,"Ganha",IF(P7&lt;-0.00005,"Perde","Mantém"))</f>
        <v>Ganha</v>
      </c>
    </row>
    <row r="8" customFormat="false" ht="15" hidden="false" customHeight="false" outlineLevel="0" collapsed="false">
      <c r="A8" s="49" t="str">
        <f aca="false">Dados!A8</f>
        <v>AM</v>
      </c>
      <c r="B8" s="49" t="str">
        <f aca="false">Dados!B8</f>
        <v>Amazonas</v>
      </c>
      <c r="C8" s="50" t="n">
        <f aca="false">Dados!D8</f>
        <v>4321616</v>
      </c>
      <c r="D8" s="8" t="str">
        <f aca="false">IF(C8&lt;POP_PEQ,"Pequena: perda zero","Demais")</f>
        <v>Demais</v>
      </c>
      <c r="E8" s="55" t="n">
        <f aca="false">'1 Regra atual'!P8</f>
        <v>0.0349395665572911</v>
      </c>
      <c r="F8" s="55" t="n">
        <f aca="false">'2 Fórmula nova'!N8</f>
        <v>0.0390350097847945</v>
      </c>
      <c r="G8" s="62" t="n">
        <f aca="false">F8/E8-1</f>
        <v>0.117215055338136</v>
      </c>
      <c r="H8" s="54" t="n">
        <f aca="false">IF(C8&lt;POP_PEQ,PERDA_PEQ,PERDA_MAX)</f>
        <v>0.05</v>
      </c>
      <c r="I8" s="52" t="n">
        <f aca="false">E8*(1-H8)</f>
        <v>0.0331925882294265</v>
      </c>
      <c r="J8" s="63" t="n">
        <f aca="false">GANHO_MAX</f>
        <v>0.1</v>
      </c>
      <c r="K8" s="52" t="n">
        <f aca="false">E8*(1+J8)</f>
        <v>0.0384335232130202</v>
      </c>
      <c r="L8" s="52" t="n">
        <f aca="false">MAX(F8-K8,0)</f>
        <v>0.000601486571774265</v>
      </c>
      <c r="M8" s="52" t="n">
        <f aca="false">MAX(I8-F8,0)</f>
        <v>0</v>
      </c>
      <c r="N8" s="52" t="n">
        <f aca="false">F8-L8+M8</f>
        <v>0.0384335232130202</v>
      </c>
      <c r="O8" s="64" t="n">
        <f aca="false">N8/N$33</f>
        <v>0.0385612659832945</v>
      </c>
      <c r="P8" s="65" t="n">
        <f aca="false">O8/E8-1</f>
        <v>0.103656106324755</v>
      </c>
      <c r="Q8" s="66" t="str">
        <f aca="false">IF(P8&gt;0.00005,"Ganha",IF(P8&lt;-0.00005,"Perde","Mantém"))</f>
        <v>Ganha</v>
      </c>
    </row>
    <row r="9" customFormat="false" ht="15" hidden="false" customHeight="false" outlineLevel="0" collapsed="false">
      <c r="A9" s="49" t="str">
        <f aca="false">Dados!A9</f>
        <v>PA</v>
      </c>
      <c r="B9" s="49" t="str">
        <f aca="false">Dados!B9</f>
        <v>Pará</v>
      </c>
      <c r="C9" s="50" t="n">
        <f aca="false">Dados!D9</f>
        <v>8711196</v>
      </c>
      <c r="D9" s="8" t="str">
        <f aca="false">IF(C9&lt;POP_PEQ,"Pequena: perda zero","Demais")</f>
        <v>Demais</v>
      </c>
      <c r="E9" s="55" t="n">
        <f aca="false">'1 Regra atual'!P9</f>
        <v>0.062658654328501</v>
      </c>
      <c r="F9" s="55" t="n">
        <f aca="false">'2 Fórmula nova'!N9</f>
        <v>0.0535756412861481</v>
      </c>
      <c r="G9" s="62" t="n">
        <f aca="false">F9/E9-1</f>
        <v>-0.144960231586419</v>
      </c>
      <c r="H9" s="54" t="n">
        <f aca="false">IF(C9&lt;POP_PEQ,PERDA_PEQ,PERDA_MAX)</f>
        <v>0.05</v>
      </c>
      <c r="I9" s="52" t="n">
        <f aca="false">E9*(1-H9)</f>
        <v>0.0595257216120759</v>
      </c>
      <c r="J9" s="63" t="n">
        <f aca="false">GANHO_MAX</f>
        <v>0.1</v>
      </c>
      <c r="K9" s="52" t="n">
        <f aca="false">E9*(1+J9)</f>
        <v>0.0689245197613511</v>
      </c>
      <c r="L9" s="52" t="n">
        <f aca="false">MAX(F9-K9,0)</f>
        <v>0</v>
      </c>
      <c r="M9" s="52" t="n">
        <f aca="false">MAX(I9-F9,0)</f>
        <v>0.00595008032592782</v>
      </c>
      <c r="N9" s="52" t="n">
        <f aca="false">F9-L9+M9</f>
        <v>0.0595257216120759</v>
      </c>
      <c r="O9" s="64" t="n">
        <f aca="false">N9/N$33</f>
        <v>0.0597235692186864</v>
      </c>
      <c r="P9" s="65" t="n">
        <f aca="false">O9/E9-1</f>
        <v>-0.0468424536286208</v>
      </c>
      <c r="Q9" s="66" t="str">
        <f aca="false">IF(P9&gt;0.00005,"Ganha",IF(P9&lt;-0.00005,"Perde","Mantém"))</f>
        <v>Perde</v>
      </c>
    </row>
    <row r="10" customFormat="false" ht="15" hidden="false" customHeight="false" outlineLevel="0" collapsed="false">
      <c r="A10" s="49" t="str">
        <f aca="false">Dados!A10</f>
        <v>RO</v>
      </c>
      <c r="B10" s="49" t="str">
        <f aca="false">Dados!B10</f>
        <v>Rondônia</v>
      </c>
      <c r="C10" s="50" t="n">
        <f aca="false">Dados!D10</f>
        <v>1751950</v>
      </c>
      <c r="D10" s="8" t="str">
        <f aca="false">IF(C10&lt;POP_PEQ,"Pequena: perda zero","Demais")</f>
        <v>Pequena: perda zero</v>
      </c>
      <c r="E10" s="55" t="n">
        <f aca="false">'1 Regra atual'!P10</f>
        <v>0.0276280092765861</v>
      </c>
      <c r="F10" s="55" t="n">
        <f aca="false">'2 Fórmula nova'!N10</f>
        <v>0.0233473354989994</v>
      </c>
      <c r="G10" s="62" t="n">
        <f aca="false">F10/E10-1</f>
        <v>-0.154939638782242</v>
      </c>
      <c r="H10" s="54" t="n">
        <f aca="false">IF(C10&lt;POP_PEQ,PERDA_PEQ,PERDA_MAX)</f>
        <v>0</v>
      </c>
      <c r="I10" s="52" t="n">
        <f aca="false">E10*(1-H10)</f>
        <v>0.0276280092765861</v>
      </c>
      <c r="J10" s="63" t="n">
        <f aca="false">GANHO_MAX</f>
        <v>0.1</v>
      </c>
      <c r="K10" s="52" t="n">
        <f aca="false">E10*(1+J10)</f>
        <v>0.0303908102042447</v>
      </c>
      <c r="L10" s="52" t="n">
        <f aca="false">MAX(F10-K10,0)</f>
        <v>0</v>
      </c>
      <c r="M10" s="52" t="n">
        <f aca="false">MAX(I10-F10,0)</f>
        <v>0.00428067377758669</v>
      </c>
      <c r="N10" s="52" t="n">
        <f aca="false">F10-L10+M10</f>
        <v>0.0276280092765861</v>
      </c>
      <c r="O10" s="64" t="n">
        <f aca="false">N10/N$33</f>
        <v>0.0277198374033648</v>
      </c>
      <c r="P10" s="65" t="n">
        <f aca="false">O10/E10-1</f>
        <v>0.00332373302250444</v>
      </c>
      <c r="Q10" s="66" t="str">
        <f aca="false">IF(P10&gt;0.00005,"Ganha",IF(P10&lt;-0.00005,"Perde","Mantém"))</f>
        <v>Ganha</v>
      </c>
    </row>
    <row r="11" customFormat="false" ht="15" hidden="false" customHeight="false" outlineLevel="0" collapsed="false">
      <c r="A11" s="49" t="str">
        <f aca="false">Dados!A11</f>
        <v>RR</v>
      </c>
      <c r="B11" s="49" t="str">
        <f aca="false">Dados!B11</f>
        <v>Roraima</v>
      </c>
      <c r="C11" s="50" t="n">
        <f aca="false">Dados!D11</f>
        <v>738772</v>
      </c>
      <c r="D11" s="8" t="str">
        <f aca="false">IF(C11&lt;POP_PEQ,"Pequena: perda zero","Demais")</f>
        <v>Pequena: perda zero</v>
      </c>
      <c r="E11" s="55" t="n">
        <f aca="false">'1 Regra atual'!P11</f>
        <v>0.028088338917943</v>
      </c>
      <c r="F11" s="55" t="n">
        <f aca="false">'2 Fórmula nova'!N11</f>
        <v>0.0283112404311822</v>
      </c>
      <c r="G11" s="62" t="n">
        <f aca="false">F11/E11-1</f>
        <v>0.00793573140406689</v>
      </c>
      <c r="H11" s="54" t="n">
        <f aca="false">IF(C11&lt;POP_PEQ,PERDA_PEQ,PERDA_MAX)</f>
        <v>0</v>
      </c>
      <c r="I11" s="52" t="n">
        <f aca="false">E11*(1-H11)</f>
        <v>0.028088338917943</v>
      </c>
      <c r="J11" s="63" t="n">
        <f aca="false">GANHO_MAX</f>
        <v>0.1</v>
      </c>
      <c r="K11" s="52" t="n">
        <f aca="false">E11*(1+J11)</f>
        <v>0.0308971728097373</v>
      </c>
      <c r="L11" s="52" t="n">
        <f aca="false">MAX(F11-K11,0)</f>
        <v>0</v>
      </c>
      <c r="M11" s="52" t="n">
        <f aca="false">MAX(I11-F11,0)</f>
        <v>0</v>
      </c>
      <c r="N11" s="52" t="n">
        <f aca="false">F11-L11+M11</f>
        <v>0.0283112404311822</v>
      </c>
      <c r="O11" s="64" t="n">
        <f aca="false">N11/N$33</f>
        <v>0.0284053394359114</v>
      </c>
      <c r="P11" s="65" t="n">
        <f aca="false">O11/E11-1</f>
        <v>0.0112858406790968</v>
      </c>
      <c r="Q11" s="66" t="str">
        <f aca="false">IF(P11&gt;0.00005,"Ganha",IF(P11&lt;-0.00005,"Perde","Mantém"))</f>
        <v>Ganha</v>
      </c>
    </row>
    <row r="12" customFormat="false" ht="15" hidden="false" customHeight="false" outlineLevel="0" collapsed="false">
      <c r="A12" s="49" t="str">
        <f aca="false">Dados!A12</f>
        <v>TO</v>
      </c>
      <c r="B12" s="49" t="str">
        <f aca="false">Dados!B12</f>
        <v>Tocantins</v>
      </c>
      <c r="C12" s="50" t="n">
        <f aca="false">Dados!D12</f>
        <v>1586859</v>
      </c>
      <c r="D12" s="8" t="str">
        <f aca="false">IF(C12&lt;POP_PEQ,"Pequena: perda zero","Demais")</f>
        <v>Pequena: perda zero</v>
      </c>
      <c r="E12" s="55" t="n">
        <f aca="false">'1 Regra atual'!P12</f>
        <v>0.0369863125744566</v>
      </c>
      <c r="F12" s="55" t="n">
        <f aca="false">'2 Fórmula nova'!N12</f>
        <v>0.0224919607355512</v>
      </c>
      <c r="G12" s="62" t="n">
        <f aca="false">F12/E12-1</f>
        <v>-0.391884208779317</v>
      </c>
      <c r="H12" s="54" t="n">
        <f aca="false">IF(C12&lt;POP_PEQ,PERDA_PEQ,PERDA_MAX)</f>
        <v>0</v>
      </c>
      <c r="I12" s="52" t="n">
        <f aca="false">E12*(1-H12)</f>
        <v>0.0369863125744566</v>
      </c>
      <c r="J12" s="63" t="n">
        <f aca="false">GANHO_MAX</f>
        <v>0.1</v>
      </c>
      <c r="K12" s="52" t="n">
        <f aca="false">E12*(1+J12)</f>
        <v>0.0406849438319023</v>
      </c>
      <c r="L12" s="52" t="n">
        <f aca="false">MAX(F12-K12,0)</f>
        <v>0</v>
      </c>
      <c r="M12" s="52" t="n">
        <f aca="false">MAX(I12-F12,0)</f>
        <v>0.0144943518389054</v>
      </c>
      <c r="N12" s="52" t="n">
        <f aca="false">F12-L12+M12</f>
        <v>0.0369863125744566</v>
      </c>
      <c r="O12" s="64" t="n">
        <f aca="false">N12/N$33</f>
        <v>0.037109245202941</v>
      </c>
      <c r="P12" s="65" t="n">
        <f aca="false">O12/E12-1</f>
        <v>0.00332373302250444</v>
      </c>
      <c r="Q12" s="66" t="str">
        <f aca="false">IF(P12&gt;0.00005,"Ganha",IF(P12&lt;-0.00005,"Perde","Mantém"))</f>
        <v>Ganha</v>
      </c>
    </row>
    <row r="13" customFormat="false" ht="15" hidden="false" customHeight="false" outlineLevel="0" collapsed="false">
      <c r="A13" s="49" t="str">
        <f aca="false">Dados!A13</f>
        <v>AL</v>
      </c>
      <c r="B13" s="49" t="str">
        <f aca="false">Dados!B13</f>
        <v>Alagoas</v>
      </c>
      <c r="C13" s="50" t="n">
        <f aca="false">Dados!D13</f>
        <v>3220848</v>
      </c>
      <c r="D13" s="8" t="str">
        <f aca="false">IF(C13&lt;POP_PEQ,"Pequena: perda zero","Demais")</f>
        <v>Demais</v>
      </c>
      <c r="E13" s="55" t="n">
        <f aca="false">'1 Regra atual'!P13</f>
        <v>0.0428046015034685</v>
      </c>
      <c r="F13" s="55" t="n">
        <f aca="false">'2 Fórmula nova'!N13</f>
        <v>0.0368257468520691</v>
      </c>
      <c r="G13" s="62" t="n">
        <f aca="false">F13/E13-1</f>
        <v>-0.1396778486751</v>
      </c>
      <c r="H13" s="54" t="n">
        <f aca="false">IF(C13&lt;POP_PEQ,PERDA_PEQ,PERDA_MAX)</f>
        <v>0.05</v>
      </c>
      <c r="I13" s="52" t="n">
        <f aca="false">E13*(1-H13)</f>
        <v>0.0406643714282951</v>
      </c>
      <c r="J13" s="63" t="n">
        <f aca="false">GANHO_MAX</f>
        <v>0.1</v>
      </c>
      <c r="K13" s="52" t="n">
        <f aca="false">E13*(1+J13)</f>
        <v>0.0470850616538154</v>
      </c>
      <c r="L13" s="52" t="n">
        <f aca="false">MAX(F13-K13,0)</f>
        <v>0</v>
      </c>
      <c r="M13" s="52" t="n">
        <f aca="false">MAX(I13-F13,0)</f>
        <v>0.00383862457622599</v>
      </c>
      <c r="N13" s="52" t="n">
        <f aca="false">F13-L13+M13</f>
        <v>0.0406643714282951</v>
      </c>
      <c r="O13" s="64" t="n">
        <f aca="false">N13/N$33</f>
        <v>0.0407995289424507</v>
      </c>
      <c r="P13" s="65" t="n">
        <f aca="false">O13/E13-1</f>
        <v>-0.0468424536286208</v>
      </c>
      <c r="Q13" s="66" t="str">
        <f aca="false">IF(P13&gt;0.00005,"Ganha",IF(P13&lt;-0.00005,"Perde","Mantém"))</f>
        <v>Perde</v>
      </c>
    </row>
    <row r="14" customFormat="false" ht="15" hidden="false" customHeight="false" outlineLevel="0" collapsed="false">
      <c r="A14" s="49" t="str">
        <f aca="false">Dados!A14</f>
        <v>BA</v>
      </c>
      <c r="B14" s="49" t="str">
        <f aca="false">Dados!B14</f>
        <v>Bahia</v>
      </c>
      <c r="C14" s="50" t="n">
        <f aca="false">Dados!D14</f>
        <v>14870907</v>
      </c>
      <c r="D14" s="8" t="str">
        <f aca="false">IF(C14&lt;POP_PEQ,"Pequena: perda zero","Demais")</f>
        <v>Demais</v>
      </c>
      <c r="E14" s="55" t="n">
        <f aca="false">'1 Regra atual'!P14</f>
        <v>0.0916066239505715</v>
      </c>
      <c r="F14" s="55" t="n">
        <f aca="false">'2 Fórmula nova'!N14</f>
        <v>0.0714990654079736</v>
      </c>
      <c r="G14" s="62" t="n">
        <f aca="false">F14/E14-1</f>
        <v>-0.219498958431733</v>
      </c>
      <c r="H14" s="54" t="n">
        <f aca="false">IF(C14&lt;POP_PEQ,PERDA_PEQ,PERDA_MAX)</f>
        <v>0.05</v>
      </c>
      <c r="I14" s="52" t="n">
        <f aca="false">E14*(1-H14)</f>
        <v>0.0870262927530429</v>
      </c>
      <c r="J14" s="63" t="n">
        <f aca="false">GANHO_MAX</f>
        <v>0.1</v>
      </c>
      <c r="K14" s="52" t="n">
        <f aca="false">E14*(1+J14)</f>
        <v>0.100767286345629</v>
      </c>
      <c r="L14" s="52" t="n">
        <f aca="false">MAX(F14-K14,0)</f>
        <v>0</v>
      </c>
      <c r="M14" s="52" t="n">
        <f aca="false">MAX(I14-F14,0)</f>
        <v>0.0155272273450693</v>
      </c>
      <c r="N14" s="52" t="n">
        <f aca="false">F14-L14+M14</f>
        <v>0.0870262927530429</v>
      </c>
      <c r="O14" s="64" t="n">
        <f aca="false">N14/N$33</f>
        <v>0.0873155449160924</v>
      </c>
      <c r="P14" s="65" t="n">
        <f aca="false">O14/E14-1</f>
        <v>-0.0468424536286207</v>
      </c>
      <c r="Q14" s="66" t="str">
        <f aca="false">IF(P14&gt;0.00005,"Ganha",IF(P14&lt;-0.00005,"Perde","Mantém"))</f>
        <v>Perde</v>
      </c>
    </row>
    <row r="15" customFormat="false" ht="15" hidden="false" customHeight="false" outlineLevel="0" collapsed="false">
      <c r="A15" s="49" t="str">
        <f aca="false">Dados!A15</f>
        <v>CE</v>
      </c>
      <c r="B15" s="49" t="str">
        <f aca="false">Dados!B15</f>
        <v>Ceará</v>
      </c>
      <c r="C15" s="50" t="n">
        <f aca="false">Dados!D15</f>
        <v>9268836</v>
      </c>
      <c r="D15" s="8" t="str">
        <f aca="false">IF(C15&lt;POP_PEQ,"Pequena: perda zero","Demais")</f>
        <v>Demais</v>
      </c>
      <c r="E15" s="55" t="n">
        <f aca="false">'1 Regra atual'!P15</f>
        <v>0.0715441834332057</v>
      </c>
      <c r="F15" s="55" t="n">
        <f aca="false">'2 Fórmula nova'!N15</f>
        <v>0.0558621323944879</v>
      </c>
      <c r="G15" s="62" t="n">
        <f aca="false">F15/E15-1</f>
        <v>-0.219193934240073</v>
      </c>
      <c r="H15" s="54" t="n">
        <f aca="false">IF(C15&lt;POP_PEQ,PERDA_PEQ,PERDA_MAX)</f>
        <v>0.05</v>
      </c>
      <c r="I15" s="52" t="n">
        <f aca="false">E15*(1-H15)</f>
        <v>0.0679669742615454</v>
      </c>
      <c r="J15" s="63" t="n">
        <f aca="false">GANHO_MAX</f>
        <v>0.1</v>
      </c>
      <c r="K15" s="52" t="n">
        <f aca="false">E15*(1+J15)</f>
        <v>0.0786986017765262</v>
      </c>
      <c r="L15" s="52" t="n">
        <f aca="false">MAX(F15-K15,0)</f>
        <v>0</v>
      </c>
      <c r="M15" s="52" t="n">
        <f aca="false">MAX(I15-F15,0)</f>
        <v>0.0121048418670575</v>
      </c>
      <c r="N15" s="52" t="n">
        <f aca="false">F15-L15+M15</f>
        <v>0.0679669742615454</v>
      </c>
      <c r="O15" s="64" t="n">
        <f aca="false">N15/N$33</f>
        <v>0.0681928783383382</v>
      </c>
      <c r="P15" s="65" t="n">
        <f aca="false">O15/E15-1</f>
        <v>-0.0468424536286207</v>
      </c>
      <c r="Q15" s="66" t="str">
        <f aca="false">IF(P15&gt;0.00005,"Ganha",IF(P15&lt;-0.00005,"Perde","Mantém"))</f>
        <v>Perde</v>
      </c>
    </row>
    <row r="16" customFormat="false" ht="15" hidden="false" customHeight="false" outlineLevel="0" collapsed="false">
      <c r="A16" s="49" t="str">
        <f aca="false">Dados!A16</f>
        <v>MA</v>
      </c>
      <c r="B16" s="49" t="str">
        <f aca="false">Dados!B16</f>
        <v>Maranhão</v>
      </c>
      <c r="C16" s="50" t="n">
        <f aca="false">Dados!D16</f>
        <v>7018211</v>
      </c>
      <c r="D16" s="8" t="str">
        <f aca="false">IF(C16&lt;POP_PEQ,"Pequena: perda zero","Demais")</f>
        <v>Demais</v>
      </c>
      <c r="E16" s="55" t="n">
        <f aca="false">'1 Regra atual'!P16</f>
        <v>0.0694789236319122</v>
      </c>
      <c r="F16" s="55" t="n">
        <f aca="false">'2 Fórmula nova'!N16</f>
        <v>0.0528691470876787</v>
      </c>
      <c r="G16" s="62" t="n">
        <f aca="false">F16/E16-1</f>
        <v>-0.239062087838743</v>
      </c>
      <c r="H16" s="54" t="n">
        <f aca="false">IF(C16&lt;POP_PEQ,PERDA_PEQ,PERDA_MAX)</f>
        <v>0.05</v>
      </c>
      <c r="I16" s="52" t="n">
        <f aca="false">E16*(1-H16)</f>
        <v>0.0660049774503166</v>
      </c>
      <c r="J16" s="63" t="n">
        <f aca="false">GANHO_MAX</f>
        <v>0.1</v>
      </c>
      <c r="K16" s="52" t="n">
        <f aca="false">E16*(1+J16)</f>
        <v>0.0764268159951034</v>
      </c>
      <c r="L16" s="52" t="n">
        <f aca="false">MAX(F16-K16,0)</f>
        <v>0</v>
      </c>
      <c r="M16" s="52" t="n">
        <f aca="false">MAX(I16-F16,0)</f>
        <v>0.0131358303626379</v>
      </c>
      <c r="N16" s="52" t="n">
        <f aca="false">F16-L16+M16</f>
        <v>0.0660049774503166</v>
      </c>
      <c r="O16" s="64" t="n">
        <f aca="false">N16/N$33</f>
        <v>0.0662243603735179</v>
      </c>
      <c r="P16" s="65" t="n">
        <f aca="false">O16/E16-1</f>
        <v>-0.0468424536286208</v>
      </c>
      <c r="Q16" s="66" t="str">
        <f aca="false">IF(P16&gt;0.00005,"Ganha",IF(P16&lt;-0.00005,"Perde","Mantém"))</f>
        <v>Perde</v>
      </c>
    </row>
    <row r="17" customFormat="false" ht="15" hidden="false" customHeight="false" outlineLevel="0" collapsed="false">
      <c r="A17" s="49" t="str">
        <f aca="false">Dados!A17</f>
        <v>PB</v>
      </c>
      <c r="B17" s="49" t="str">
        <f aca="false">Dados!B17</f>
        <v>Paraíba</v>
      </c>
      <c r="C17" s="50" t="n">
        <f aca="false">Dados!D17</f>
        <v>4164468</v>
      </c>
      <c r="D17" s="8" t="str">
        <f aca="false">IF(C17&lt;POP_PEQ,"Pequena: perda zero","Demais")</f>
        <v>Demais</v>
      </c>
      <c r="E17" s="55" t="n">
        <f aca="false">'1 Regra atual'!P17</f>
        <v>0.0471804269600328</v>
      </c>
      <c r="F17" s="55" t="n">
        <f aca="false">'2 Fórmula nova'!N17</f>
        <v>0.0375724929326568</v>
      </c>
      <c r="G17" s="62" t="n">
        <f aca="false">F17/E17-1</f>
        <v>-0.203642371348504</v>
      </c>
      <c r="H17" s="54" t="n">
        <f aca="false">IF(C17&lt;POP_PEQ,PERDA_PEQ,PERDA_MAX)</f>
        <v>0.05</v>
      </c>
      <c r="I17" s="52" t="n">
        <f aca="false">E17*(1-H17)</f>
        <v>0.0448214056120311</v>
      </c>
      <c r="J17" s="63" t="n">
        <f aca="false">GANHO_MAX</f>
        <v>0.1</v>
      </c>
      <c r="K17" s="52" t="n">
        <f aca="false">E17*(1+J17)</f>
        <v>0.0518984696560361</v>
      </c>
      <c r="L17" s="52" t="n">
        <f aca="false">MAX(F17-K17,0)</f>
        <v>0</v>
      </c>
      <c r="M17" s="52" t="n">
        <f aca="false">MAX(I17-F17,0)</f>
        <v>0.00724891267937433</v>
      </c>
      <c r="N17" s="52" t="n">
        <f aca="false">F17-L17+M17</f>
        <v>0.0448214056120311</v>
      </c>
      <c r="O17" s="64" t="n">
        <f aca="false">N17/N$33</f>
        <v>0.0449703799979789</v>
      </c>
      <c r="P17" s="65" t="n">
        <f aca="false">O17/E17-1</f>
        <v>-0.0468424536286208</v>
      </c>
      <c r="Q17" s="66" t="str">
        <f aca="false">IF(P17&gt;0.00005,"Ganha",IF(P17&lt;-0.00005,"Perde","Mantém"))</f>
        <v>Perde</v>
      </c>
    </row>
    <row r="18" customFormat="false" ht="15" hidden="false" customHeight="false" outlineLevel="0" collapsed="false">
      <c r="A18" s="49" t="str">
        <f aca="false">Dados!A18</f>
        <v>PE</v>
      </c>
      <c r="B18" s="49" t="str">
        <f aca="false">Dados!B18</f>
        <v>Pernambuco</v>
      </c>
      <c r="C18" s="50" t="n">
        <f aca="false">Dados!D18</f>
        <v>9562007</v>
      </c>
      <c r="D18" s="8" t="str">
        <f aca="false">IF(C18&lt;POP_PEQ,"Pequena: perda zero","Demais")</f>
        <v>Demais</v>
      </c>
      <c r="E18" s="55" t="n">
        <f aca="false">'1 Regra atual'!P18</f>
        <v>0.0675390809558929</v>
      </c>
      <c r="F18" s="55" t="n">
        <f aca="false">'2 Fórmula nova'!N18</f>
        <v>0.0531200776897126</v>
      </c>
      <c r="G18" s="62" t="n">
        <f aca="false">F18/E18-1</f>
        <v>-0.213491256648824</v>
      </c>
      <c r="H18" s="54" t="n">
        <f aca="false">IF(C18&lt;POP_PEQ,PERDA_PEQ,PERDA_MAX)</f>
        <v>0.05</v>
      </c>
      <c r="I18" s="52" t="n">
        <f aca="false">E18*(1-H18)</f>
        <v>0.0641621269080982</v>
      </c>
      <c r="J18" s="63" t="n">
        <f aca="false">GANHO_MAX</f>
        <v>0.1</v>
      </c>
      <c r="K18" s="52" t="n">
        <f aca="false">E18*(1+J18)</f>
        <v>0.0742929890514821</v>
      </c>
      <c r="L18" s="52" t="n">
        <f aca="false">MAX(F18-K18,0)</f>
        <v>0</v>
      </c>
      <c r="M18" s="52" t="n">
        <f aca="false">MAX(I18-F18,0)</f>
        <v>0.0110420492183856</v>
      </c>
      <c r="N18" s="52" t="n">
        <f aca="false">F18-L18+M18</f>
        <v>0.0641621269080982</v>
      </c>
      <c r="O18" s="64" t="n">
        <f aca="false">N18/N$33</f>
        <v>0.0643753846880968</v>
      </c>
      <c r="P18" s="65" t="n">
        <f aca="false">O18/E18-1</f>
        <v>-0.0468424536286207</v>
      </c>
      <c r="Q18" s="66" t="str">
        <f aca="false">IF(P18&gt;0.00005,"Ganha",IF(P18&lt;-0.00005,"Perde","Mantém"))</f>
        <v>Perde</v>
      </c>
    </row>
    <row r="19" customFormat="false" ht="15" hidden="false" customHeight="false" outlineLevel="0" collapsed="false">
      <c r="A19" s="49" t="str">
        <f aca="false">Dados!A19</f>
        <v>PI</v>
      </c>
      <c r="B19" s="49" t="str">
        <f aca="false">Dados!B19</f>
        <v>Piauí</v>
      </c>
      <c r="C19" s="50" t="n">
        <f aca="false">Dados!D19</f>
        <v>3384547</v>
      </c>
      <c r="D19" s="8" t="str">
        <f aca="false">IF(C19&lt;POP_PEQ,"Pequena: perda zero","Demais")</f>
        <v>Demais</v>
      </c>
      <c r="E19" s="55" t="n">
        <f aca="false">'1 Regra atual'!P19</f>
        <v>0.0431143832610412</v>
      </c>
      <c r="F19" s="55" t="n">
        <f aca="false">'2 Fórmula nova'!N19</f>
        <v>0.0351468954995903</v>
      </c>
      <c r="G19" s="62" t="n">
        <f aca="false">F19/E19-1</f>
        <v>-0.18479883414337</v>
      </c>
      <c r="H19" s="54" t="n">
        <f aca="false">IF(C19&lt;POP_PEQ,PERDA_PEQ,PERDA_MAX)</f>
        <v>0.05</v>
      </c>
      <c r="I19" s="52" t="n">
        <f aca="false">E19*(1-H19)</f>
        <v>0.0409586640979891</v>
      </c>
      <c r="J19" s="63" t="n">
        <f aca="false">GANHO_MAX</f>
        <v>0.1</v>
      </c>
      <c r="K19" s="52" t="n">
        <f aca="false">E19*(1+J19)</f>
        <v>0.0474258215871453</v>
      </c>
      <c r="L19" s="52" t="n">
        <f aca="false">MAX(F19-K19,0)</f>
        <v>0</v>
      </c>
      <c r="M19" s="52" t="n">
        <f aca="false">MAX(I19-F19,0)</f>
        <v>0.00581176859839876</v>
      </c>
      <c r="N19" s="52" t="n">
        <f aca="false">F19-L19+M19</f>
        <v>0.0409586640979891</v>
      </c>
      <c r="O19" s="64" t="n">
        <f aca="false">N19/N$33</f>
        <v>0.0410947997624093</v>
      </c>
      <c r="P19" s="65" t="n">
        <f aca="false">O19/E19-1</f>
        <v>-0.0468424536286208</v>
      </c>
      <c r="Q19" s="66" t="str">
        <f aca="false">IF(P19&gt;0.00005,"Ganha",IF(P19&lt;-0.00005,"Perde","Mantém"))</f>
        <v>Perde</v>
      </c>
    </row>
    <row r="20" customFormat="false" ht="15" hidden="false" customHeight="false" outlineLevel="0" collapsed="false">
      <c r="A20" s="49" t="str">
        <f aca="false">Dados!A20</f>
        <v>RN</v>
      </c>
      <c r="B20" s="49" t="str">
        <f aca="false">Dados!B20</f>
        <v>Rio Grande do Norte</v>
      </c>
      <c r="C20" s="50" t="n">
        <f aca="false">Dados!D20</f>
        <v>3455236</v>
      </c>
      <c r="D20" s="8" t="str">
        <f aca="false">IF(C20&lt;POP_PEQ,"Pequena: perda zero","Demais")</f>
        <v>Demais</v>
      </c>
      <c r="E20" s="55" t="n">
        <f aca="false">'1 Regra atual'!P20</f>
        <v>0.0394137126252711</v>
      </c>
      <c r="F20" s="55" t="n">
        <f aca="false">'2 Fórmula nova'!N20</f>
        <v>0.0297150041831024</v>
      </c>
      <c r="G20" s="62" t="n">
        <f aca="false">F20/E20-1</f>
        <v>-0.246074469928269</v>
      </c>
      <c r="H20" s="54" t="n">
        <f aca="false">IF(C20&lt;POP_PEQ,PERDA_PEQ,PERDA_MAX)</f>
        <v>0.05</v>
      </c>
      <c r="I20" s="52" t="n">
        <f aca="false">E20*(1-H20)</f>
        <v>0.0374430269940076</v>
      </c>
      <c r="J20" s="63" t="n">
        <f aca="false">GANHO_MAX</f>
        <v>0.1</v>
      </c>
      <c r="K20" s="52" t="n">
        <f aca="false">E20*(1+J20)</f>
        <v>0.0433550838877983</v>
      </c>
      <c r="L20" s="52" t="n">
        <f aca="false">MAX(F20-K20,0)</f>
        <v>0</v>
      </c>
      <c r="M20" s="52" t="n">
        <f aca="false">MAX(I20-F20,0)</f>
        <v>0.00772802281090514</v>
      </c>
      <c r="N20" s="52" t="n">
        <f aca="false">F20-L20+M20</f>
        <v>0.0374430269940076</v>
      </c>
      <c r="O20" s="64" t="n">
        <f aca="false">N20/N$33</f>
        <v>0.0375674776192901</v>
      </c>
      <c r="P20" s="65" t="n">
        <f aca="false">O20/E20-1</f>
        <v>-0.0468424536286208</v>
      </c>
      <c r="Q20" s="66" t="str">
        <f aca="false">IF(P20&gt;0.00005,"Ganha",IF(P20&lt;-0.00005,"Perde","Mantém"))</f>
        <v>Perde</v>
      </c>
    </row>
    <row r="21" customFormat="false" ht="15" hidden="false" customHeight="false" outlineLevel="0" collapsed="false">
      <c r="A21" s="49" t="str">
        <f aca="false">Dados!A21</f>
        <v>SE</v>
      </c>
      <c r="B21" s="49" t="str">
        <f aca="false">Dados!B21</f>
        <v>Sergipe</v>
      </c>
      <c r="C21" s="50" t="n">
        <f aca="false">Dados!D21</f>
        <v>2299425</v>
      </c>
      <c r="D21" s="8" t="str">
        <f aca="false">IF(C21&lt;POP_PEQ,"Pequena: perda zero","Demais")</f>
        <v>Pequena: perda zero</v>
      </c>
      <c r="E21" s="55" t="n">
        <f aca="false">'1 Regra atual'!P21</f>
        <v>0.0397639899275868</v>
      </c>
      <c r="F21" s="55" t="n">
        <f aca="false">'2 Fórmula nova'!N21</f>
        <v>0.0300363893621541</v>
      </c>
      <c r="G21" s="62" t="n">
        <f aca="false">F21/E21-1</f>
        <v>-0.244633412872988</v>
      </c>
      <c r="H21" s="54" t="n">
        <f aca="false">IF(C21&lt;POP_PEQ,PERDA_PEQ,PERDA_MAX)</f>
        <v>0</v>
      </c>
      <c r="I21" s="52" t="n">
        <f aca="false">E21*(1-H21)</f>
        <v>0.0397639899275868</v>
      </c>
      <c r="J21" s="63" t="n">
        <f aca="false">GANHO_MAX</f>
        <v>0.1</v>
      </c>
      <c r="K21" s="52" t="n">
        <f aca="false">E21*(1+J21)</f>
        <v>0.0437403889203455</v>
      </c>
      <c r="L21" s="52" t="n">
        <f aca="false">MAX(F21-K21,0)</f>
        <v>0</v>
      </c>
      <c r="M21" s="52" t="n">
        <f aca="false">MAX(I21-F21,0)</f>
        <v>0.00972760056543268</v>
      </c>
      <c r="N21" s="52" t="n">
        <f aca="false">F21-L21+M21</f>
        <v>0.0397639899275868</v>
      </c>
      <c r="O21" s="64" t="n">
        <f aca="false">N21/N$33</f>
        <v>0.0398961548140156</v>
      </c>
      <c r="P21" s="65" t="n">
        <f aca="false">O21/E21-1</f>
        <v>0.00332373302250444</v>
      </c>
      <c r="Q21" s="66" t="str">
        <f aca="false">IF(P21&gt;0.00005,"Ganha",IF(P21&lt;-0.00005,"Perde","Mantém"))</f>
        <v>Ganha</v>
      </c>
    </row>
    <row r="22" customFormat="false" ht="15" hidden="false" customHeight="false" outlineLevel="0" collapsed="false">
      <c r="A22" s="49" t="str">
        <f aca="false">Dados!A22</f>
        <v>DF</v>
      </c>
      <c r="B22" s="49" t="str">
        <f aca="false">Dados!B22</f>
        <v>Distrito Federal</v>
      </c>
      <c r="C22" s="50" t="n">
        <f aca="false">Dados!D22</f>
        <v>2996899</v>
      </c>
      <c r="D22" s="8" t="str">
        <f aca="false">IF(C22&lt;POP_PEQ,"Pequena: perda zero","Demais")</f>
        <v>Demais</v>
      </c>
      <c r="E22" s="55" t="n">
        <f aca="false">'1 Regra atual'!P22</f>
        <v>0.00683979017453015</v>
      </c>
      <c r="F22" s="55" t="n">
        <f aca="false">'2 Fórmula nova'!N22</f>
        <v>0.00912629028210596</v>
      </c>
      <c r="G22" s="62" t="n">
        <f aca="false">F22/E22-1</f>
        <v>0.334293896337672</v>
      </c>
      <c r="H22" s="54" t="n">
        <f aca="false">IF(C22&lt;POP_PEQ,PERDA_PEQ,PERDA_MAX)</f>
        <v>0.05</v>
      </c>
      <c r="I22" s="52" t="n">
        <f aca="false">E22*(1-H22)</f>
        <v>0.00649780066580365</v>
      </c>
      <c r="J22" s="63" t="n">
        <f aca="false">GANHO_MAX</f>
        <v>0.1</v>
      </c>
      <c r="K22" s="52" t="n">
        <f aca="false">E22*(1+J22)</f>
        <v>0.00752376919198317</v>
      </c>
      <c r="L22" s="52" t="n">
        <f aca="false">MAX(F22-K22,0)</f>
        <v>0.00160252109012279</v>
      </c>
      <c r="M22" s="52" t="n">
        <f aca="false">MAX(I22-F22,0)</f>
        <v>0</v>
      </c>
      <c r="N22" s="52" t="n">
        <f aca="false">F22-L22+M22</f>
        <v>0.00752376919198317</v>
      </c>
      <c r="O22" s="64" t="n">
        <f aca="false">N22/N$33</f>
        <v>0.00754877619210027</v>
      </c>
      <c r="P22" s="65" t="n">
        <f aca="false">O22/E22-1</f>
        <v>0.103656106324755</v>
      </c>
      <c r="Q22" s="66" t="str">
        <f aca="false">IF(P22&gt;0.00005,"Ganha",IF(P22&lt;-0.00005,"Perde","Mantém"))</f>
        <v>Ganha</v>
      </c>
    </row>
    <row r="23" customFormat="false" ht="15" hidden="false" customHeight="false" outlineLevel="0" collapsed="false">
      <c r="A23" s="49" t="str">
        <f aca="false">Dados!A23</f>
        <v>GO</v>
      </c>
      <c r="B23" s="49" t="str">
        <f aca="false">Dados!B23</f>
        <v>Goiás</v>
      </c>
      <c r="C23" s="50" t="n">
        <f aca="false">Dados!D23</f>
        <v>7423629</v>
      </c>
      <c r="D23" s="8" t="str">
        <f aca="false">IF(C23&lt;POP_PEQ,"Pequena: perda zero","Demais")</f>
        <v>Demais</v>
      </c>
      <c r="E23" s="55" t="n">
        <f aca="false">'1 Regra atual'!P23</f>
        <v>0.0276434848456156</v>
      </c>
      <c r="F23" s="55" t="n">
        <f aca="false">'2 Fórmula nova'!N23</f>
        <v>0.0314875199526755</v>
      </c>
      <c r="G23" s="62" t="n">
        <f aca="false">F23/E23-1</f>
        <v>0.139057543885233</v>
      </c>
      <c r="H23" s="54" t="n">
        <f aca="false">IF(C23&lt;POP_PEQ,PERDA_PEQ,PERDA_MAX)</f>
        <v>0.05</v>
      </c>
      <c r="I23" s="52" t="n">
        <f aca="false">E23*(1-H23)</f>
        <v>0.0262613106033348</v>
      </c>
      <c r="J23" s="63" t="n">
        <f aca="false">GANHO_MAX</f>
        <v>0.1</v>
      </c>
      <c r="K23" s="52" t="n">
        <f aca="false">E23*(1+J23)</f>
        <v>0.0304078333301771</v>
      </c>
      <c r="L23" s="52" t="n">
        <f aca="false">MAX(F23-K23,0)</f>
        <v>0.00107968662249841</v>
      </c>
      <c r="M23" s="52" t="n">
        <f aca="false">MAX(I23-F23,0)</f>
        <v>0</v>
      </c>
      <c r="N23" s="52" t="n">
        <f aca="false">F23-L23+M23</f>
        <v>0.0304078333301771</v>
      </c>
      <c r="O23" s="64" t="n">
        <f aca="false">N23/N$33</f>
        <v>0.0305089008499595</v>
      </c>
      <c r="P23" s="65" t="n">
        <f aca="false">O23/E23-1</f>
        <v>0.103656106324755</v>
      </c>
      <c r="Q23" s="66" t="str">
        <f aca="false">IF(P23&gt;0.00005,"Ganha",IF(P23&lt;-0.00005,"Perde","Mantém"))</f>
        <v>Ganha</v>
      </c>
    </row>
    <row r="24" customFormat="false" ht="15" hidden="false" customHeight="false" outlineLevel="0" collapsed="false">
      <c r="A24" s="49" t="str">
        <f aca="false">Dados!A24</f>
        <v>MT</v>
      </c>
      <c r="B24" s="49" t="str">
        <f aca="false">Dados!B24</f>
        <v>Mato Grosso</v>
      </c>
      <c r="C24" s="50" t="n">
        <f aca="false">Dados!D24</f>
        <v>3893659</v>
      </c>
      <c r="D24" s="8" t="str">
        <f aca="false">IF(C24&lt;POP_PEQ,"Pequena: perda zero","Demais")</f>
        <v>Demais</v>
      </c>
      <c r="E24" s="55" t="n">
        <f aca="false">'1 Regra atual'!P24</f>
        <v>0.0222452243128701</v>
      </c>
      <c r="F24" s="55" t="n">
        <f aca="false">'2 Fórmula nova'!N24</f>
        <v>0.0217210634994846</v>
      </c>
      <c r="G24" s="62" t="n">
        <f aca="false">F24/E24-1</f>
        <v>-0.023562846839097</v>
      </c>
      <c r="H24" s="54" t="n">
        <f aca="false">IF(C24&lt;POP_PEQ,PERDA_PEQ,PERDA_MAX)</f>
        <v>0.05</v>
      </c>
      <c r="I24" s="52" t="n">
        <f aca="false">E24*(1-H24)</f>
        <v>0.0211329630972266</v>
      </c>
      <c r="J24" s="63" t="n">
        <f aca="false">GANHO_MAX</f>
        <v>0.1</v>
      </c>
      <c r="K24" s="52" t="n">
        <f aca="false">E24*(1+J24)</f>
        <v>0.0244697467441571</v>
      </c>
      <c r="L24" s="52" t="n">
        <f aca="false">MAX(F24-K24,0)</f>
        <v>0</v>
      </c>
      <c r="M24" s="52" t="n">
        <f aca="false">MAX(I24-F24,0)</f>
        <v>0</v>
      </c>
      <c r="N24" s="52" t="n">
        <f aca="false">F24-L24+M24</f>
        <v>0.0217210634994846</v>
      </c>
      <c r="O24" s="64" t="n">
        <f aca="false">N24/N$33</f>
        <v>0.0217932585155217</v>
      </c>
      <c r="P24" s="65" t="n">
        <f aca="false">O24/E24-1</f>
        <v>-0.0203174304287358</v>
      </c>
      <c r="Q24" s="66" t="str">
        <f aca="false">IF(P24&gt;0.00005,"Ganha",IF(P24&lt;-0.00005,"Perde","Mantém"))</f>
        <v>Perde</v>
      </c>
    </row>
    <row r="25" customFormat="false" ht="15" hidden="false" customHeight="false" outlineLevel="0" collapsed="false">
      <c r="A25" s="49" t="str">
        <f aca="false">Dados!A25</f>
        <v>MS</v>
      </c>
      <c r="B25" s="49" t="str">
        <f aca="false">Dados!B25</f>
        <v>Mato Grosso do Sul</v>
      </c>
      <c r="C25" s="50" t="n">
        <f aca="false">Dados!D25</f>
        <v>2924631</v>
      </c>
      <c r="D25" s="8" t="str">
        <f aca="false">IF(C25&lt;POP_PEQ,"Pequena: perda zero","Demais")</f>
        <v>Demais</v>
      </c>
      <c r="E25" s="55" t="n">
        <f aca="false">'1 Regra atual'!P25</f>
        <v>0.0142187755703434</v>
      </c>
      <c r="F25" s="55" t="n">
        <f aca="false">'2 Fórmula nova'!N25</f>
        <v>0.0171740346667553</v>
      </c>
      <c r="G25" s="62" t="n">
        <f aca="false">F25/E25-1</f>
        <v>0.20784202421591</v>
      </c>
      <c r="H25" s="54" t="n">
        <f aca="false">IF(C25&lt;POP_PEQ,PERDA_PEQ,PERDA_MAX)</f>
        <v>0.05</v>
      </c>
      <c r="I25" s="52" t="n">
        <f aca="false">E25*(1-H25)</f>
        <v>0.0135078367918262</v>
      </c>
      <c r="J25" s="63" t="n">
        <f aca="false">GANHO_MAX</f>
        <v>0.1</v>
      </c>
      <c r="K25" s="52" t="n">
        <f aca="false">E25*(1+J25)</f>
        <v>0.0156406531273777</v>
      </c>
      <c r="L25" s="52" t="n">
        <f aca="false">MAX(F25-K25,0)</f>
        <v>0.00153338153937756</v>
      </c>
      <c r="M25" s="52" t="n">
        <f aca="false">MAX(I25-F25,0)</f>
        <v>0</v>
      </c>
      <c r="N25" s="52" t="n">
        <f aca="false">F25-L25+M25</f>
        <v>0.0156406531273777</v>
      </c>
      <c r="O25" s="64" t="n">
        <f aca="false">N25/N$33</f>
        <v>0.0156926384826707</v>
      </c>
      <c r="P25" s="65" t="n">
        <f aca="false">O25/E25-1</f>
        <v>0.103656106324755</v>
      </c>
      <c r="Q25" s="66" t="str">
        <f aca="false">IF(P25&gt;0.00005,"Ganha",IF(P25&lt;-0.00005,"Perde","Mantém"))</f>
        <v>Ganha</v>
      </c>
    </row>
    <row r="26" customFormat="false" ht="15" hidden="false" customHeight="false" outlineLevel="0" collapsed="false">
      <c r="A26" s="49" t="str">
        <f aca="false">Dados!A26</f>
        <v>ES</v>
      </c>
      <c r="B26" s="49" t="str">
        <f aca="false">Dados!B26</f>
        <v>Espírito Santo</v>
      </c>
      <c r="C26" s="50" t="n">
        <f aca="false">Dados!D26</f>
        <v>4126854</v>
      </c>
      <c r="D26" s="8" t="str">
        <f aca="false">IF(C26&lt;POP_PEQ,"Pequena: perda zero","Demais")</f>
        <v>Demais</v>
      </c>
      <c r="E26" s="55" t="n">
        <f aca="false">'1 Regra atual'!P26</f>
        <v>0.0180543020400209</v>
      </c>
      <c r="F26" s="55" t="n">
        <f aca="false">'2 Fórmula nova'!N26</f>
        <v>0.0236908956097608</v>
      </c>
      <c r="G26" s="62" t="n">
        <f aca="false">F26/E26-1</f>
        <v>0.312202241728608</v>
      </c>
      <c r="H26" s="54" t="n">
        <f aca="false">IF(C26&lt;POP_PEQ,PERDA_PEQ,PERDA_MAX)</f>
        <v>0.05</v>
      </c>
      <c r="I26" s="52" t="n">
        <f aca="false">E26*(1-H26)</f>
        <v>0.0171515869380199</v>
      </c>
      <c r="J26" s="63" t="n">
        <f aca="false">GANHO_MAX</f>
        <v>0.1</v>
      </c>
      <c r="K26" s="52" t="n">
        <f aca="false">E26*(1+J26)</f>
        <v>0.019859732244023</v>
      </c>
      <c r="L26" s="52" t="n">
        <f aca="false">MAX(F26-K26,0)</f>
        <v>0.00383116336573782</v>
      </c>
      <c r="M26" s="52" t="n">
        <f aca="false">MAX(I26-F26,0)</f>
        <v>0</v>
      </c>
      <c r="N26" s="52" t="n">
        <f aca="false">F26-L26+M26</f>
        <v>0.019859732244023</v>
      </c>
      <c r="O26" s="64" t="n">
        <f aca="false">N26/N$33</f>
        <v>0.0199257406919006</v>
      </c>
      <c r="P26" s="65" t="n">
        <f aca="false">O26/E26-1</f>
        <v>0.103656106324755</v>
      </c>
      <c r="Q26" s="66" t="str">
        <f aca="false">IF(P26&gt;0.00005,"Ganha",IF(P26&lt;-0.00005,"Perde","Mantém"))</f>
        <v>Ganha</v>
      </c>
    </row>
    <row r="27" customFormat="false" ht="15" hidden="false" customHeight="false" outlineLevel="0" collapsed="false">
      <c r="A27" s="49" t="str">
        <f aca="false">Dados!A27</f>
        <v>MG</v>
      </c>
      <c r="B27" s="49" t="str">
        <f aca="false">Dados!B27</f>
        <v>Minas Gerais</v>
      </c>
      <c r="C27" s="50" t="n">
        <f aca="false">Dados!D27</f>
        <v>21393441</v>
      </c>
      <c r="D27" s="8" t="str">
        <f aca="false">IF(C27&lt;POP_PEQ,"Pequena: perda zero","Demais")</f>
        <v>Demais</v>
      </c>
      <c r="E27" s="55" t="n">
        <f aca="false">'1 Regra atual'!P27</f>
        <v>0.0445222938586848</v>
      </c>
      <c r="F27" s="55" t="n">
        <f aca="false">'2 Fórmula nova'!N27</f>
        <v>0.0551103439150962</v>
      </c>
      <c r="G27" s="62" t="n">
        <f aca="false">F27/E27-1</f>
        <v>0.237814567461825</v>
      </c>
      <c r="H27" s="54" t="n">
        <f aca="false">IF(C27&lt;POP_PEQ,PERDA_PEQ,PERDA_MAX)</f>
        <v>0.05</v>
      </c>
      <c r="I27" s="52" t="n">
        <f aca="false">E27*(1-H27)</f>
        <v>0.0422961791657506</v>
      </c>
      <c r="J27" s="63" t="n">
        <f aca="false">GANHO_MAX</f>
        <v>0.1</v>
      </c>
      <c r="K27" s="52" t="n">
        <f aca="false">E27*(1+J27)</f>
        <v>0.0489745232445533</v>
      </c>
      <c r="L27" s="52" t="n">
        <f aca="false">MAX(F27-K27,0)</f>
        <v>0.0061358206705429</v>
      </c>
      <c r="M27" s="52" t="n">
        <f aca="false">MAX(I27-F27,0)</f>
        <v>0</v>
      </c>
      <c r="N27" s="52" t="n">
        <f aca="false">F27-L27+M27</f>
        <v>0.0489745232445533</v>
      </c>
      <c r="O27" s="64" t="n">
        <f aca="false">N27/N$33</f>
        <v>0.0491373014847227</v>
      </c>
      <c r="P27" s="65" t="n">
        <f aca="false">O27/E27-1</f>
        <v>0.103656106324755</v>
      </c>
      <c r="Q27" s="66" t="str">
        <f aca="false">IF(P27&gt;0.00005,"Ganha",IF(P27&lt;-0.00005,"Perde","Mantém"))</f>
        <v>Ganha</v>
      </c>
    </row>
    <row r="28" customFormat="false" ht="15" hidden="false" customHeight="false" outlineLevel="0" collapsed="false">
      <c r="A28" s="49" t="str">
        <f aca="false">Dados!A28</f>
        <v>RJ</v>
      </c>
      <c r="B28" s="49" t="str">
        <f aca="false">Dados!B28</f>
        <v>Rio de Janeiro</v>
      </c>
      <c r="C28" s="50" t="n">
        <f aca="false">Dados!D28</f>
        <v>17223547</v>
      </c>
      <c r="D28" s="8" t="str">
        <f aca="false">IF(C28&lt;POP_PEQ,"Pequena: perda zero","Demais")</f>
        <v>Demais</v>
      </c>
      <c r="E28" s="55" t="n">
        <f aca="false">'1 Regra atual'!P28</f>
        <v>0.01819666712808</v>
      </c>
      <c r="F28" s="55" t="n">
        <f aca="false">'2 Fórmula nova'!N28</f>
        <v>0.049955909191294</v>
      </c>
      <c r="G28" s="62" t="n">
        <f aca="false">F28/E28-1</f>
        <v>1.7453329139711</v>
      </c>
      <c r="H28" s="54" t="n">
        <f aca="false">IF(C28&lt;POP_PEQ,PERDA_PEQ,PERDA_MAX)</f>
        <v>0.05</v>
      </c>
      <c r="I28" s="52" t="n">
        <f aca="false">E28*(1-H28)</f>
        <v>0.017286833771676</v>
      </c>
      <c r="J28" s="63" t="n">
        <f aca="false">GANHO_MAX</f>
        <v>0.1</v>
      </c>
      <c r="K28" s="52" t="n">
        <f aca="false">E28*(1+J28)</f>
        <v>0.020016333840888</v>
      </c>
      <c r="L28" s="52" t="n">
        <f aca="false">MAX(F28-K28,0)</f>
        <v>0.029939575350406</v>
      </c>
      <c r="M28" s="52" t="n">
        <f aca="false">MAX(I28-F28,0)</f>
        <v>0</v>
      </c>
      <c r="N28" s="52" t="n">
        <f aca="false">F28-L28+M28</f>
        <v>0.020016333840888</v>
      </c>
      <c r="O28" s="64" t="n">
        <f aca="false">N28/N$33</f>
        <v>0.0200828627906644</v>
      </c>
      <c r="P28" s="65" t="n">
        <f aca="false">O28/E28-1</f>
        <v>0.103656106324755</v>
      </c>
      <c r="Q28" s="66" t="str">
        <f aca="false">IF(P28&gt;0.00005,"Ganha",IF(P28&lt;-0.00005,"Perde","Mantém"))</f>
        <v>Ganha</v>
      </c>
    </row>
    <row r="29" customFormat="false" ht="15" hidden="false" customHeight="false" outlineLevel="0" collapsed="false">
      <c r="A29" s="49" t="str">
        <f aca="false">Dados!A29</f>
        <v>SP</v>
      </c>
      <c r="B29" s="49" t="str">
        <f aca="false">Dados!B29</f>
        <v>São Paulo</v>
      </c>
      <c r="C29" s="50" t="n">
        <f aca="false">Dados!D29</f>
        <v>46081801</v>
      </c>
      <c r="D29" s="8" t="str">
        <f aca="false">IF(C29&lt;POP_PEQ,"Pequena: perda zero","Demais")</f>
        <v>Demais</v>
      </c>
      <c r="E29" s="55" t="n">
        <f aca="false">'1 Regra atual'!P29</f>
        <v>0.0122105294958529</v>
      </c>
      <c r="F29" s="55" t="n">
        <f aca="false">'2 Fórmula nova'!N29</f>
        <v>0.0484428270733317</v>
      </c>
      <c r="G29" s="62" t="n">
        <f aca="false">F29/E29-1</f>
        <v>2.96729945984606</v>
      </c>
      <c r="H29" s="54" t="n">
        <f aca="false">IF(C29&lt;POP_PEQ,PERDA_PEQ,PERDA_MAX)</f>
        <v>0.05</v>
      </c>
      <c r="I29" s="52" t="n">
        <f aca="false">E29*(1-H29)</f>
        <v>0.0116000030210603</v>
      </c>
      <c r="J29" s="63" t="n">
        <f aca="false">GANHO_MAX</f>
        <v>0.1</v>
      </c>
      <c r="K29" s="52" t="n">
        <f aca="false">E29*(1+J29)</f>
        <v>0.0134315824454382</v>
      </c>
      <c r="L29" s="52" t="n">
        <f aca="false">MAX(F29-K29,0)</f>
        <v>0.0350112446278935</v>
      </c>
      <c r="M29" s="52" t="n">
        <f aca="false">MAX(I29-F29,0)</f>
        <v>0</v>
      </c>
      <c r="N29" s="52" t="n">
        <f aca="false">F29-L29+M29</f>
        <v>0.0134315824454382</v>
      </c>
      <c r="O29" s="64" t="n">
        <f aca="false">N29/N$33</f>
        <v>0.0134762254395566</v>
      </c>
      <c r="P29" s="65" t="n">
        <f aca="false">O29/E29-1</f>
        <v>0.103656106324755</v>
      </c>
      <c r="Q29" s="66" t="str">
        <f aca="false">IF(P29&gt;0.00005,"Ganha",IF(P29&lt;-0.00005,"Perde","Mantém"))</f>
        <v>Ganha</v>
      </c>
    </row>
    <row r="30" customFormat="false" ht="15" hidden="false" customHeight="false" outlineLevel="0" collapsed="false">
      <c r="A30" s="49" t="str">
        <f aca="false">Dados!A30</f>
        <v>PR</v>
      </c>
      <c r="B30" s="49" t="str">
        <f aca="false">Dados!B30</f>
        <v>Paraná</v>
      </c>
      <c r="C30" s="50" t="n">
        <f aca="false">Dados!D30</f>
        <v>11890517</v>
      </c>
      <c r="D30" s="8" t="str">
        <f aca="false">IF(C30&lt;POP_PEQ,"Pequena: perda zero","Demais")</f>
        <v>Demais</v>
      </c>
      <c r="E30" s="55" t="n">
        <f aca="false">'1 Regra atual'!P30</f>
        <v>0.0260610084203117</v>
      </c>
      <c r="F30" s="55" t="n">
        <f aca="false">'2 Fórmula nova'!N30</f>
        <v>0.0409894856586639</v>
      </c>
      <c r="G30" s="62" t="n">
        <f aca="false">F30/E30-1</f>
        <v>0.572828073172989</v>
      </c>
      <c r="H30" s="54" t="n">
        <f aca="false">IF(C30&lt;POP_PEQ,PERDA_PEQ,PERDA_MAX)</f>
        <v>0.05</v>
      </c>
      <c r="I30" s="52" t="n">
        <f aca="false">E30*(1-H30)</f>
        <v>0.0247579579992961</v>
      </c>
      <c r="J30" s="63" t="n">
        <f aca="false">GANHO_MAX</f>
        <v>0.1</v>
      </c>
      <c r="K30" s="52" t="n">
        <f aca="false">E30*(1+J30)</f>
        <v>0.0286671092623429</v>
      </c>
      <c r="L30" s="52" t="n">
        <f aca="false">MAX(F30-K30,0)</f>
        <v>0.012322376396321</v>
      </c>
      <c r="M30" s="52" t="n">
        <f aca="false">MAX(I30-F30,0)</f>
        <v>0</v>
      </c>
      <c r="N30" s="52" t="n">
        <f aca="false">F30-L30+M30</f>
        <v>0.0286671092623429</v>
      </c>
      <c r="O30" s="64" t="n">
        <f aca="false">N30/N$33</f>
        <v>0.0287623910800579</v>
      </c>
      <c r="P30" s="65" t="n">
        <f aca="false">O30/E30-1</f>
        <v>0.103656106324755</v>
      </c>
      <c r="Q30" s="66" t="str">
        <f aca="false">IF(P30&gt;0.00005,"Ganha",IF(P30&lt;-0.00005,"Perde","Mantém"))</f>
        <v>Ganha</v>
      </c>
    </row>
    <row r="31" customFormat="false" ht="15" hidden="false" customHeight="false" outlineLevel="0" collapsed="false">
      <c r="A31" s="49" t="str">
        <f aca="false">Dados!A31</f>
        <v>RS</v>
      </c>
      <c r="B31" s="49" t="str">
        <f aca="false">Dados!B31</f>
        <v>Rio Grande do Sul</v>
      </c>
      <c r="C31" s="50" t="n">
        <f aca="false">Dados!D31</f>
        <v>11233263</v>
      </c>
      <c r="D31" s="8" t="str">
        <f aca="false">IF(C31&lt;POP_PEQ,"Pequena: perda zero","Demais")</f>
        <v>Demais</v>
      </c>
      <c r="E31" s="55" t="n">
        <f aca="false">'1 Regra atual'!P31</f>
        <v>0.0213383232621058</v>
      </c>
      <c r="F31" s="55" t="n">
        <f aca="false">'2 Fórmula nova'!N31</f>
        <v>0.0382298177643624</v>
      </c>
      <c r="G31" s="62" t="n">
        <f aca="false">F31/E31-1</f>
        <v>0.791603646395859</v>
      </c>
      <c r="H31" s="54" t="n">
        <f aca="false">IF(C31&lt;POP_PEQ,PERDA_PEQ,PERDA_MAX)</f>
        <v>0.05</v>
      </c>
      <c r="I31" s="52" t="n">
        <f aca="false">E31*(1-H31)</f>
        <v>0.0202714070990006</v>
      </c>
      <c r="J31" s="63" t="n">
        <f aca="false">GANHO_MAX</f>
        <v>0.1</v>
      </c>
      <c r="K31" s="52" t="n">
        <f aca="false">E31*(1+J31)</f>
        <v>0.0234721555883164</v>
      </c>
      <c r="L31" s="52" t="n">
        <f aca="false">MAX(F31-K31,0)</f>
        <v>0.014757662176046</v>
      </c>
      <c r="M31" s="52" t="n">
        <f aca="false">MAX(I31-F31,0)</f>
        <v>0</v>
      </c>
      <c r="N31" s="52" t="n">
        <f aca="false">F31-L31+M31</f>
        <v>0.0234721555883164</v>
      </c>
      <c r="O31" s="64" t="n">
        <f aca="false">N31/N$33</f>
        <v>0.0235501707669547</v>
      </c>
      <c r="P31" s="65" t="n">
        <f aca="false">O31/E31-1</f>
        <v>0.103656106324755</v>
      </c>
      <c r="Q31" s="66" t="str">
        <f aca="false">IF(P31&gt;0.00005,"Ganha",IF(P31&lt;-0.00005,"Perde","Mantém"))</f>
        <v>Ganha</v>
      </c>
    </row>
    <row r="32" customFormat="false" ht="15" hidden="false" customHeight="false" outlineLevel="0" collapsed="false">
      <c r="A32" s="49" t="str">
        <f aca="false">Dados!A32</f>
        <v>SC</v>
      </c>
      <c r="B32" s="49" t="str">
        <f aca="false">Dados!B32</f>
        <v>Santa Catarina</v>
      </c>
      <c r="C32" s="50" t="n">
        <f aca="false">Dados!D32</f>
        <v>8187029</v>
      </c>
      <c r="D32" s="8" t="str">
        <f aca="false">IF(C32&lt;POP_PEQ,"Pequena: perda zero","Demais")</f>
        <v>Demais</v>
      </c>
      <c r="E32" s="55" t="n">
        <f aca="false">'1 Regra atual'!P32</f>
        <v>0.0135309227974686</v>
      </c>
      <c r="F32" s="55" t="n">
        <f aca="false">'2 Fórmula nova'!N32</f>
        <v>0.0292392167619713</v>
      </c>
      <c r="G32" s="62" t="n">
        <f aca="false">F32/E32-1</f>
        <v>1.160918157588</v>
      </c>
      <c r="H32" s="54" t="n">
        <f aca="false">IF(C32&lt;POP_PEQ,PERDA_PEQ,PERDA_MAX)</f>
        <v>0.05</v>
      </c>
      <c r="I32" s="52" t="n">
        <f aca="false">E32*(1-H32)</f>
        <v>0.0128543766575952</v>
      </c>
      <c r="J32" s="63" t="n">
        <f aca="false">GANHO_MAX</f>
        <v>0.1</v>
      </c>
      <c r="K32" s="52" t="n">
        <f aca="false">E32*(1+J32)</f>
        <v>0.0148840150772155</v>
      </c>
      <c r="L32" s="52" t="n">
        <f aca="false">MAX(F32-K32,0)</f>
        <v>0.0143552016847558</v>
      </c>
      <c r="M32" s="52" t="n">
        <f aca="false">MAX(I32-F32,0)</f>
        <v>0</v>
      </c>
      <c r="N32" s="52" t="n">
        <f aca="false">F32-L32+M32</f>
        <v>0.0148840150772155</v>
      </c>
      <c r="O32" s="64" t="n">
        <f aca="false">N32/N$33</f>
        <v>0.0149334855696351</v>
      </c>
      <c r="P32" s="65" t="n">
        <f aca="false">O32/E32-1</f>
        <v>0.103656106324755</v>
      </c>
      <c r="Q32" s="66" t="str">
        <f aca="false">IF(P32&gt;0.00005,"Ganha",IF(P32&lt;-0.00005,"Perde","Mantém"))</f>
        <v>Ganha</v>
      </c>
    </row>
    <row r="33" customFormat="false" ht="15" hidden="false" customHeight="false" outlineLevel="0" collapsed="false">
      <c r="A33" s="43"/>
      <c r="B33" s="43" t="s">
        <v>180</v>
      </c>
      <c r="C33" s="44" t="n">
        <f aca="false">SUM(C6:C32)</f>
        <v>213421037</v>
      </c>
      <c r="D33" s="43"/>
      <c r="E33" s="45" t="n">
        <f aca="false">SUM(E6:E32)</f>
        <v>1</v>
      </c>
      <c r="F33" s="45" t="n">
        <f aca="false">SUM(F6:F32)</f>
        <v>1</v>
      </c>
      <c r="G33" s="67"/>
      <c r="H33" s="58"/>
      <c r="I33" s="45" t="n">
        <f aca="false">SUM(I6:I32)</f>
        <v>0.960242926044346</v>
      </c>
      <c r="J33" s="68"/>
      <c r="K33" s="45"/>
      <c r="L33" s="45" t="n">
        <f aca="false">SUM(L6:L32)</f>
        <v>0.121170120095476</v>
      </c>
      <c r="M33" s="45" t="n">
        <f aca="false">SUM(M6:M32)</f>
        <v>0.117857397677865</v>
      </c>
      <c r="N33" s="45" t="n">
        <f aca="false">SUM(N6:N32)</f>
        <v>0.996687277582389</v>
      </c>
      <c r="O33" s="45" t="n">
        <f aca="false">SUM(O6:O32)</f>
        <v>1</v>
      </c>
      <c r="P33" s="69"/>
      <c r="Q33" s="43"/>
    </row>
    <row r="35" customFormat="false" ht="15" hidden="false" customHeight="false" outlineLevel="0" collapsed="false">
      <c r="B35" s="25" t="s">
        <v>214</v>
      </c>
    </row>
    <row r="36" customFormat="false" ht="15" hidden="false" customHeight="false" outlineLevel="0" collapsed="false">
      <c r="B36" s="70" t="s">
        <v>215</v>
      </c>
      <c r="C36" s="70"/>
      <c r="D36" s="70"/>
      <c r="E36" s="70"/>
      <c r="F36" s="70"/>
      <c r="G36" s="71" t="n">
        <f aca="false">L33</f>
        <v>0.121170120095476</v>
      </c>
    </row>
    <row r="37" customFormat="false" ht="15" hidden="false" customHeight="false" outlineLevel="0" collapsed="false">
      <c r="B37" s="70" t="s">
        <v>216</v>
      </c>
      <c r="C37" s="70"/>
      <c r="D37" s="70"/>
      <c r="E37" s="70"/>
      <c r="F37" s="70"/>
      <c r="G37" s="71" t="n">
        <f aca="false">M33</f>
        <v>0.117857397677865</v>
      </c>
    </row>
    <row r="38" customFormat="false" ht="15" hidden="false" customHeight="false" outlineLevel="0" collapsed="false">
      <c r="B38" s="70" t="s">
        <v>217</v>
      </c>
      <c r="C38" s="70"/>
      <c r="D38" s="70"/>
      <c r="E38" s="70"/>
      <c r="F38" s="70"/>
      <c r="G38" s="72" t="n">
        <f aca="false">L33-M33</f>
        <v>0.0033127224176108</v>
      </c>
    </row>
    <row r="39" customFormat="false" ht="15" hidden="false" customHeight="false" outlineLevel="0" collapsed="false">
      <c r="B39" s="70" t="s">
        <v>218</v>
      </c>
      <c r="C39" s="70"/>
      <c r="D39" s="70"/>
      <c r="E39" s="70"/>
      <c r="F39" s="70"/>
      <c r="G39" s="73" t="n">
        <f aca="false">1/N33-1</f>
        <v>0.00332373302250444</v>
      </c>
    </row>
    <row r="40" customFormat="false" ht="15" hidden="false" customHeight="false" outlineLevel="0" collapsed="false">
      <c r="B40" s="70" t="s">
        <v>219</v>
      </c>
      <c r="C40" s="70"/>
      <c r="D40" s="70"/>
      <c r="E40" s="70"/>
      <c r="F40" s="70"/>
      <c r="G40" s="71" t="n">
        <f aca="false">O33</f>
        <v>1</v>
      </c>
    </row>
    <row r="41" customFormat="false" ht="15" hidden="false" customHeight="false" outlineLevel="0" collapsed="false">
      <c r="B41" s="70" t="s">
        <v>220</v>
      </c>
      <c r="C41" s="70"/>
      <c r="D41" s="70"/>
      <c r="E41" s="70"/>
      <c r="F41" s="70"/>
      <c r="G41" s="74" t="str">
        <f aca="false">IF(INDEX(P6:P32,MATCH("RS",A6:A32,0))&gt;=MAX(P6:P32)-0.0000001,"Sim","Não")</f>
        <v>Sim</v>
      </c>
    </row>
    <row r="43" customFormat="false" ht="15" hidden="false" customHeight="false" outlineLevel="0" collapsed="false">
      <c r="B43" s="46" t="s">
        <v>221</v>
      </c>
    </row>
  </sheetData>
  <mergeCells count="7">
    <mergeCell ref="A2:Q2"/>
    <mergeCell ref="B36:F36"/>
    <mergeCell ref="B37:F37"/>
    <mergeCell ref="B38:F38"/>
    <mergeCell ref="B39:F39"/>
    <mergeCell ref="B40:F40"/>
    <mergeCell ref="B41:F41"/>
  </mergeCells>
  <conditionalFormatting sqref="G6:G32">
    <cfRule type="cellIs" priority="2" operator="greaterThan" aboveAverage="0" equalAverage="0" bottom="0" percent="0" rank="0" text="" dxfId="0">
      <formula>0.00005</formula>
    </cfRule>
    <cfRule type="cellIs" priority="3" operator="lessThan" aboveAverage="0" equalAverage="0" bottom="0" percent="0" rank="0" text="" dxfId="1">
      <formula>-0.00005</formula>
    </cfRule>
  </conditionalFormatting>
  <conditionalFormatting sqref="P6:P32">
    <cfRule type="cellIs" priority="4" operator="greaterThan" aboveAverage="0" equalAverage="0" bottom="0" percent="0" rank="0" text="" dxfId="0">
      <formula>0.00005</formula>
    </cfRule>
    <cfRule type="cellIs" priority="5" operator="lessThan" aboveAverage="0" equalAverage="0" bottom="0" percent="0" rank="0" text="" dxfId="1">
      <formula>-0.00005</formula>
    </cfRule>
  </conditionalFormatting>
  <conditionalFormatting sqref="L6:L32">
    <cfRule type="cellIs" priority="6" operator="greaterThan" aboveAverage="0" equalAverage="0" bottom="0" percent="0" rank="0" text="" dxfId="4">
      <formula>0</formula>
    </cfRule>
  </conditionalFormatting>
  <conditionalFormatting sqref="M6:M32">
    <cfRule type="cellIs" priority="7" operator="greaterThan" aboveAverage="0" equalAverage="0" bottom="0" percent="0" rank="0" text="" dxfId="5">
      <formula>0</formula>
    </cfRule>
  </conditionalFormatting>
  <conditionalFormatting sqref="Q6:Q32">
    <cfRule type="cellIs" priority="8" operator="equal" aboveAverage="0" equalAverage="0" bottom="0" percent="0" rank="0" text="" dxfId="2">
      <formula>"Ganha"</formula>
    </cfRule>
    <cfRule type="cellIs" priority="9" operator="equal" aboveAverage="0" equalAverage="0" bottom="0" percent="0" rank="0" text="" dxfId="3">
      <formula>"Perde"</formula>
    </cfRule>
    <cfRule type="cellIs" priority="10" operator="equal" aboveAverage="0" equalAverage="0" bottom="0" percent="0" rank="0" text="" dxfId="6">
      <formula>"Mantém"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18.55" hidden="false" customHeight="false" outlineLevel="0" collapsed="false">
      <c r="A1" s="23" t="s">
        <v>222</v>
      </c>
    </row>
    <row r="2" customFormat="false" ht="42" hidden="false" customHeight="true" outlineLevel="0" collapsed="false">
      <c r="A2" s="2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42" hidden="false" customHeight="true" outlineLevel="0" collapsed="false">
      <c r="A5" s="24" t="s">
        <v>82</v>
      </c>
      <c r="B5" s="24" t="s">
        <v>83</v>
      </c>
      <c r="C5" s="24" t="s">
        <v>84</v>
      </c>
      <c r="D5" s="24" t="s">
        <v>201</v>
      </c>
      <c r="E5" s="24" t="s">
        <v>224</v>
      </c>
      <c r="F5" s="24" t="s">
        <v>225</v>
      </c>
      <c r="G5" s="24" t="s">
        <v>226</v>
      </c>
      <c r="H5" s="24" t="s">
        <v>227</v>
      </c>
      <c r="I5" s="24" t="s">
        <v>213</v>
      </c>
      <c r="J5" s="24" t="s">
        <v>88</v>
      </c>
      <c r="K5" s="24" t="s">
        <v>89</v>
      </c>
      <c r="L5" s="24" t="s">
        <v>90</v>
      </c>
      <c r="M5" s="24" t="s">
        <v>91</v>
      </c>
    </row>
    <row r="6" customFormat="false" ht="15" hidden="false" customHeight="false" outlineLevel="0" collapsed="false">
      <c r="A6" s="49" t="str">
        <f aca="false">Dados!A6</f>
        <v>AC</v>
      </c>
      <c r="B6" s="49" t="str">
        <f aca="false">Dados!B6</f>
        <v>Acre</v>
      </c>
      <c r="C6" s="49" t="str">
        <f aca="false">Dados!C6</f>
        <v>Norte</v>
      </c>
      <c r="D6" s="55" t="n">
        <f aca="false">'1 Regra atual'!P6</f>
        <v>0.0374232283998617</v>
      </c>
      <c r="E6" s="55" t="n">
        <f aca="false">'1 Regra atual'!N6</f>
        <v>0.043243535001017</v>
      </c>
      <c r="F6" s="55" t="n">
        <f aca="false">'3 Fundo'!O6</f>
        <v>0.0375476132199031</v>
      </c>
      <c r="G6" s="62" t="n">
        <f aca="false">F6/D6-1</f>
        <v>0.00332373302250466</v>
      </c>
      <c r="H6" s="62" t="n">
        <f aca="false">F6/E6-1</f>
        <v>-0.131717302504986</v>
      </c>
      <c r="I6" s="66" t="str">
        <f aca="false">'3 Fundo'!Q6</f>
        <v>Ganha</v>
      </c>
      <c r="J6" s="75" t="n">
        <f aca="false">Dados!G6</f>
        <v>3</v>
      </c>
      <c r="K6" s="75" t="n">
        <f aca="false">Dados!H6</f>
        <v>3</v>
      </c>
      <c r="L6" s="75" t="n">
        <f aca="false">Dados!I6</f>
        <v>8</v>
      </c>
      <c r="M6" s="75" t="n">
        <f aca="false">Dados!J6</f>
        <v>7</v>
      </c>
    </row>
    <row r="7" customFormat="false" ht="15" hidden="false" customHeight="false" outlineLevel="0" collapsed="false">
      <c r="A7" s="49" t="str">
        <f aca="false">Dados!A7</f>
        <v>AP</v>
      </c>
      <c r="B7" s="49" t="str">
        <f aca="false">Dados!B7</f>
        <v>Amapá</v>
      </c>
      <c r="C7" s="49" t="str">
        <f aca="false">Dados!C7</f>
        <v>Norte</v>
      </c>
      <c r="D7" s="55" t="n">
        <f aca="false">'1 Regra atual'!P7</f>
        <v>0.0349686417904938</v>
      </c>
      <c r="E7" s="55" t="n">
        <f aca="false">'1 Regra atual'!N7</f>
        <v>0.0365058357899743</v>
      </c>
      <c r="F7" s="55" t="n">
        <f aca="false">'3 Fundo'!O7</f>
        <v>0.035084868219965</v>
      </c>
      <c r="G7" s="62" t="n">
        <f aca="false">F7/D7-1</f>
        <v>0.00332373302250466</v>
      </c>
      <c r="H7" s="62" t="n">
        <f aca="false">F7/E7-1</f>
        <v>-0.0389243949428891</v>
      </c>
      <c r="I7" s="66" t="str">
        <f aca="false">'3 Fundo'!Q7</f>
        <v>Ganha</v>
      </c>
      <c r="J7" s="75" t="n">
        <f aca="false">Dados!G7</f>
        <v>3</v>
      </c>
      <c r="K7" s="75" t="n">
        <f aca="false">Dados!H7</f>
        <v>3</v>
      </c>
      <c r="L7" s="75" t="n">
        <f aca="false">Dados!I7</f>
        <v>8</v>
      </c>
      <c r="M7" s="75" t="n">
        <f aca="false">Dados!J7</f>
        <v>5</v>
      </c>
    </row>
    <row r="8" customFormat="false" ht="15" hidden="false" customHeight="false" outlineLevel="0" collapsed="false">
      <c r="A8" s="49" t="str">
        <f aca="false">Dados!A8</f>
        <v>AM</v>
      </c>
      <c r="B8" s="49" t="str">
        <f aca="false">Dados!B8</f>
        <v>Amazonas</v>
      </c>
      <c r="C8" s="49" t="str">
        <f aca="false">Dados!C8</f>
        <v>Norte</v>
      </c>
      <c r="D8" s="55" t="n">
        <f aca="false">'1 Regra atual'!P8</f>
        <v>0.0349395665572911</v>
      </c>
      <c r="E8" s="55" t="n">
        <f aca="false">'1 Regra atual'!N8</f>
        <v>0.0476834955223252</v>
      </c>
      <c r="F8" s="55" t="n">
        <f aca="false">'3 Fundo'!O8</f>
        <v>0.0385612659832945</v>
      </c>
      <c r="G8" s="62" t="n">
        <f aca="false">F8/D8-1</f>
        <v>0.103656106324755</v>
      </c>
      <c r="H8" s="62" t="n">
        <f aca="false">F8/E8-1</f>
        <v>-0.191307903061757</v>
      </c>
      <c r="I8" s="66" t="str">
        <f aca="false">'3 Fundo'!Q8</f>
        <v>Ganha</v>
      </c>
      <c r="J8" s="75" t="n">
        <f aca="false">Dados!G8</f>
        <v>3</v>
      </c>
      <c r="K8" s="75" t="n">
        <f aca="false">Dados!H8</f>
        <v>3</v>
      </c>
      <c r="L8" s="75" t="n">
        <f aca="false">Dados!I8</f>
        <v>8</v>
      </c>
      <c r="M8" s="75" t="n">
        <f aca="false">Dados!J8</f>
        <v>8</v>
      </c>
    </row>
    <row r="9" customFormat="false" ht="15" hidden="false" customHeight="false" outlineLevel="0" collapsed="false">
      <c r="A9" s="49" t="str">
        <f aca="false">Dados!A9</f>
        <v>PA</v>
      </c>
      <c r="B9" s="49" t="str">
        <f aca="false">Dados!B9</f>
        <v>Pará</v>
      </c>
      <c r="C9" s="49" t="str">
        <f aca="false">Dados!C9</f>
        <v>Norte</v>
      </c>
      <c r="D9" s="55" t="n">
        <f aca="false">'1 Regra atual'!P9</f>
        <v>0.062658654328501</v>
      </c>
      <c r="E9" s="55" t="n">
        <f aca="false">'1 Regra atual'!N9</f>
        <v>0.0654457079800422</v>
      </c>
      <c r="F9" s="55" t="n">
        <f aca="false">'3 Fundo'!O9</f>
        <v>0.0597235692186864</v>
      </c>
      <c r="G9" s="62" t="n">
        <f aca="false">F9/D9-1</f>
        <v>-0.0468424536286208</v>
      </c>
      <c r="H9" s="62" t="n">
        <f aca="false">F9/E9-1</f>
        <v>-0.0874333693983529</v>
      </c>
      <c r="I9" s="66" t="str">
        <f aca="false">'3 Fundo'!Q9</f>
        <v>Perde</v>
      </c>
      <c r="J9" s="75" t="n">
        <f aca="false">Dados!G9</f>
        <v>3</v>
      </c>
      <c r="K9" s="75" t="n">
        <f aca="false">Dados!H9</f>
        <v>2</v>
      </c>
      <c r="L9" s="75" t="n">
        <f aca="false">Dados!I9</f>
        <v>17</v>
      </c>
      <c r="M9" s="75" t="n">
        <f aca="false">Dados!J9</f>
        <v>14</v>
      </c>
    </row>
    <row r="10" customFormat="false" ht="15" hidden="false" customHeight="false" outlineLevel="0" collapsed="false">
      <c r="A10" s="49" t="str">
        <f aca="false">Dados!A10</f>
        <v>RO</v>
      </c>
      <c r="B10" s="49" t="str">
        <f aca="false">Dados!B10</f>
        <v>Rondônia</v>
      </c>
      <c r="C10" s="49" t="str">
        <f aca="false">Dados!C10</f>
        <v>Norte</v>
      </c>
      <c r="D10" s="55" t="n">
        <f aca="false">'1 Regra atual'!P10</f>
        <v>0.0276280092765861</v>
      </c>
      <c r="E10" s="55" t="n">
        <f aca="false">'1 Regra atual'!N10</f>
        <v>0.0266716291160701</v>
      </c>
      <c r="F10" s="55" t="n">
        <f aca="false">'3 Fundo'!O10</f>
        <v>0.0277198374033648</v>
      </c>
      <c r="G10" s="62" t="n">
        <f aca="false">F10/D10-1</f>
        <v>0.00332373302250444</v>
      </c>
      <c r="H10" s="62" t="n">
        <f aca="false">F10/E10-1</f>
        <v>0.0393004972712048</v>
      </c>
      <c r="I10" s="66" t="str">
        <f aca="false">'3 Fundo'!Q10</f>
        <v>Ganha</v>
      </c>
      <c r="J10" s="75" t="n">
        <f aca="false">Dados!G10</f>
        <v>3</v>
      </c>
      <c r="K10" s="75" t="n">
        <f aca="false">Dados!H10</f>
        <v>3</v>
      </c>
      <c r="L10" s="75" t="n">
        <f aca="false">Dados!I10</f>
        <v>8</v>
      </c>
      <c r="M10" s="75" t="n">
        <f aca="false">Dados!J10</f>
        <v>8</v>
      </c>
    </row>
    <row r="11" customFormat="false" ht="15" hidden="false" customHeight="false" outlineLevel="0" collapsed="false">
      <c r="A11" s="49" t="str">
        <f aca="false">Dados!A11</f>
        <v>RR</v>
      </c>
      <c r="B11" s="49" t="str">
        <f aca="false">Dados!B11</f>
        <v>Roraima</v>
      </c>
      <c r="C11" s="49" t="str">
        <f aca="false">Dados!C11</f>
        <v>Norte</v>
      </c>
      <c r="D11" s="55" t="n">
        <f aca="false">'1 Regra atual'!P11</f>
        <v>0.028088338917943</v>
      </c>
      <c r="E11" s="55" t="n">
        <f aca="false">'1 Regra atual'!N11</f>
        <v>0.0340320180431347</v>
      </c>
      <c r="F11" s="55" t="n">
        <f aca="false">'3 Fundo'!O11</f>
        <v>0.0284053394359114</v>
      </c>
      <c r="G11" s="62" t="n">
        <f aca="false">F11/D11-1</f>
        <v>0.0112858406790968</v>
      </c>
      <c r="H11" s="62" t="n">
        <f aca="false">F11/E11-1</f>
        <v>-0.16533485026047</v>
      </c>
      <c r="I11" s="66" t="str">
        <f aca="false">'3 Fundo'!Q11</f>
        <v>Ganha</v>
      </c>
      <c r="J11" s="75" t="n">
        <f aca="false">Dados!G11</f>
        <v>3</v>
      </c>
      <c r="K11" s="75" t="n">
        <f aca="false">Dados!H11</f>
        <v>3</v>
      </c>
      <c r="L11" s="75" t="n">
        <f aca="false">Dados!I11</f>
        <v>8</v>
      </c>
      <c r="M11" s="75" t="n">
        <f aca="false">Dados!J11</f>
        <v>8</v>
      </c>
    </row>
    <row r="12" customFormat="false" ht="15" hidden="false" customHeight="false" outlineLevel="0" collapsed="false">
      <c r="A12" s="49" t="str">
        <f aca="false">Dados!A12</f>
        <v>TO</v>
      </c>
      <c r="B12" s="49" t="str">
        <f aca="false">Dados!B12</f>
        <v>Tocantins</v>
      </c>
      <c r="C12" s="49" t="str">
        <f aca="false">Dados!C12</f>
        <v>Norte</v>
      </c>
      <c r="D12" s="55" t="n">
        <f aca="false">'1 Regra atual'!P12</f>
        <v>0.0369863125744566</v>
      </c>
      <c r="E12" s="55" t="n">
        <f aca="false">'1 Regra atual'!N12</f>
        <v>0.0253688292787647</v>
      </c>
      <c r="F12" s="55" t="n">
        <f aca="false">'3 Fundo'!O12</f>
        <v>0.037109245202941</v>
      </c>
      <c r="G12" s="62" t="n">
        <f aca="false">F12/D12-1</f>
        <v>0.00332373302250444</v>
      </c>
      <c r="H12" s="62" t="n">
        <f aca="false">F12/E12-1</f>
        <v>0.46278903118339</v>
      </c>
      <c r="I12" s="66" t="str">
        <f aca="false">'3 Fundo'!Q12</f>
        <v>Ganha</v>
      </c>
      <c r="J12" s="75" t="n">
        <f aca="false">Dados!G12</f>
        <v>3</v>
      </c>
      <c r="K12" s="75" t="n">
        <f aca="false">Dados!H12</f>
        <v>3</v>
      </c>
      <c r="L12" s="75" t="n">
        <f aca="false">Dados!I12</f>
        <v>8</v>
      </c>
      <c r="M12" s="75" t="n">
        <f aca="false">Dados!J12</f>
        <v>8</v>
      </c>
    </row>
    <row r="13" customFormat="false" ht="15" hidden="false" customHeight="false" outlineLevel="0" collapsed="false">
      <c r="A13" s="49" t="str">
        <f aca="false">Dados!A13</f>
        <v>AL</v>
      </c>
      <c r="B13" s="49" t="str">
        <f aca="false">Dados!B13</f>
        <v>Alagoas</v>
      </c>
      <c r="C13" s="49" t="str">
        <f aca="false">Dados!C13</f>
        <v>Nordeste</v>
      </c>
      <c r="D13" s="55" t="n">
        <f aca="false">'1 Regra atual'!P13</f>
        <v>0.0428046015034685</v>
      </c>
      <c r="E13" s="55" t="n">
        <f aca="false">'1 Regra atual'!N13</f>
        <v>0.0449847545782078</v>
      </c>
      <c r="F13" s="55" t="n">
        <f aca="false">'3 Fundo'!O13</f>
        <v>0.0407995289424507</v>
      </c>
      <c r="G13" s="62" t="n">
        <f aca="false">F13/D13-1</f>
        <v>-0.0468424536286208</v>
      </c>
      <c r="H13" s="62" t="n">
        <f aca="false">F13/E13-1</f>
        <v>-0.0930365337101246</v>
      </c>
      <c r="I13" s="66" t="str">
        <f aca="false">'3 Fundo'!Q13</f>
        <v>Perde</v>
      </c>
      <c r="J13" s="75" t="n">
        <f aca="false">Dados!G13</f>
        <v>3</v>
      </c>
      <c r="K13" s="75" t="n">
        <f aca="false">Dados!H13</f>
        <v>3</v>
      </c>
      <c r="L13" s="75" t="n">
        <f aca="false">Dados!I13</f>
        <v>9</v>
      </c>
      <c r="M13" s="75" t="n">
        <f aca="false">Dados!J13</f>
        <v>9</v>
      </c>
    </row>
    <row r="14" customFormat="false" ht="15" hidden="false" customHeight="false" outlineLevel="0" collapsed="false">
      <c r="A14" s="49" t="str">
        <f aca="false">Dados!A14</f>
        <v>BA</v>
      </c>
      <c r="B14" s="49" t="str">
        <f aca="false">Dados!B14</f>
        <v>Bahia</v>
      </c>
      <c r="C14" s="49" t="str">
        <f aca="false">Dados!C14</f>
        <v>Nordeste</v>
      </c>
      <c r="D14" s="55" t="n">
        <f aca="false">'1 Regra atual'!P14</f>
        <v>0.0916066239505715</v>
      </c>
      <c r="E14" s="55" t="n">
        <f aca="false">'1 Regra atual'!N14</f>
        <v>0.087340194969276</v>
      </c>
      <c r="F14" s="55" t="n">
        <f aca="false">'3 Fundo'!O14</f>
        <v>0.0873155449160924</v>
      </c>
      <c r="G14" s="62" t="n">
        <f aca="false">F14/D14-1</f>
        <v>-0.0468424536286207</v>
      </c>
      <c r="H14" s="62" t="n">
        <f aca="false">F14/E14-1</f>
        <v>-0.000282230342998013</v>
      </c>
      <c r="I14" s="66" t="str">
        <f aca="false">'3 Fundo'!Q14</f>
        <v>Perde</v>
      </c>
      <c r="J14" s="75" t="n">
        <f aca="false">Dados!G14</f>
        <v>3</v>
      </c>
      <c r="K14" s="75" t="n">
        <f aca="false">Dados!H14</f>
        <v>1</v>
      </c>
      <c r="L14" s="75" t="n">
        <f aca="false">Dados!I14</f>
        <v>39</v>
      </c>
      <c r="M14" s="75" t="n">
        <f aca="false">Dados!J14</f>
        <v>24</v>
      </c>
    </row>
    <row r="15" customFormat="false" ht="15" hidden="false" customHeight="false" outlineLevel="0" collapsed="false">
      <c r="A15" s="49" t="str">
        <f aca="false">Dados!A15</f>
        <v>CE</v>
      </c>
      <c r="B15" s="49" t="str">
        <f aca="false">Dados!B15</f>
        <v>Ceará</v>
      </c>
      <c r="C15" s="49" t="str">
        <f aca="false">Dados!C15</f>
        <v>Nordeste</v>
      </c>
      <c r="D15" s="55" t="n">
        <f aca="false">'1 Regra atual'!P15</f>
        <v>0.0715441834332057</v>
      </c>
      <c r="E15" s="55" t="n">
        <f aca="false">'1 Regra atual'!N15</f>
        <v>0.0682387875546968</v>
      </c>
      <c r="F15" s="55" t="n">
        <f aca="false">'3 Fundo'!O15</f>
        <v>0.0681928783383382</v>
      </c>
      <c r="G15" s="62" t="n">
        <f aca="false">F15/D15-1</f>
        <v>-0.0468424536286207</v>
      </c>
      <c r="H15" s="62" t="n">
        <f aca="false">F15/E15-1</f>
        <v>-0.000672773037209029</v>
      </c>
      <c r="I15" s="66" t="str">
        <f aca="false">'3 Fundo'!Q15</f>
        <v>Perde</v>
      </c>
      <c r="J15" s="75" t="n">
        <f aca="false">Dados!G15</f>
        <v>3</v>
      </c>
      <c r="K15" s="75" t="n">
        <f aca="false">Dados!H15</f>
        <v>0</v>
      </c>
      <c r="L15" s="75" t="n">
        <f aca="false">Dados!I15</f>
        <v>22</v>
      </c>
      <c r="M15" s="75" t="n">
        <f aca="false">Dados!J15</f>
        <v>14</v>
      </c>
    </row>
    <row r="16" customFormat="false" ht="15" hidden="false" customHeight="false" outlineLevel="0" collapsed="false">
      <c r="A16" s="49" t="str">
        <f aca="false">Dados!A16</f>
        <v>MA</v>
      </c>
      <c r="B16" s="49" t="str">
        <f aca="false">Dados!B16</f>
        <v>Maranhão</v>
      </c>
      <c r="C16" s="49" t="str">
        <f aca="false">Dados!C16</f>
        <v>Nordeste</v>
      </c>
      <c r="D16" s="55" t="n">
        <f aca="false">'1 Regra atual'!P16</f>
        <v>0.0694789236319122</v>
      </c>
      <c r="E16" s="55" t="n">
        <f aca="false">'1 Regra atual'!N16</f>
        <v>0.0645826849364976</v>
      </c>
      <c r="F16" s="55" t="n">
        <f aca="false">'3 Fundo'!O16</f>
        <v>0.0662243603735179</v>
      </c>
      <c r="G16" s="62" t="n">
        <f aca="false">F16/D16-1</f>
        <v>-0.0468424536286208</v>
      </c>
      <c r="H16" s="62" t="n">
        <f aca="false">F16/E16-1</f>
        <v>0.0254197458441761</v>
      </c>
      <c r="I16" s="66" t="str">
        <f aca="false">'3 Fundo'!Q16</f>
        <v>Perde</v>
      </c>
      <c r="J16" s="75" t="n">
        <f aca="false">Dados!G16</f>
        <v>3</v>
      </c>
      <c r="K16" s="75" t="n">
        <f aca="false">Dados!H16</f>
        <v>2</v>
      </c>
      <c r="L16" s="75" t="n">
        <f aca="false">Dados!I16</f>
        <v>18</v>
      </c>
      <c r="M16" s="75" t="n">
        <f aca="false">Dados!J16</f>
        <v>15</v>
      </c>
    </row>
    <row r="17" customFormat="false" ht="15" hidden="false" customHeight="false" outlineLevel="0" collapsed="false">
      <c r="A17" s="49" t="str">
        <f aca="false">Dados!A17</f>
        <v>PB</v>
      </c>
      <c r="B17" s="49" t="str">
        <f aca="false">Dados!B17</f>
        <v>Paraíba</v>
      </c>
      <c r="C17" s="49" t="str">
        <f aca="false">Dados!C17</f>
        <v>Nordeste</v>
      </c>
      <c r="D17" s="55" t="n">
        <f aca="false">'1 Regra atual'!P17</f>
        <v>0.0471804269600328</v>
      </c>
      <c r="E17" s="55" t="n">
        <f aca="false">'1 Regra atual'!N17</f>
        <v>0.0458969475963812</v>
      </c>
      <c r="F17" s="55" t="n">
        <f aca="false">'3 Fundo'!O17</f>
        <v>0.0449703799979789</v>
      </c>
      <c r="G17" s="62" t="n">
        <f aca="false">F17/D17-1</f>
        <v>-0.0468424536286208</v>
      </c>
      <c r="H17" s="62" t="n">
        <f aca="false">F17/E17-1</f>
        <v>-0.0201880004428727</v>
      </c>
      <c r="I17" s="66" t="str">
        <f aca="false">'3 Fundo'!Q17</f>
        <v>Perde</v>
      </c>
      <c r="J17" s="75" t="n">
        <f aca="false">Dados!G17</f>
        <v>3</v>
      </c>
      <c r="K17" s="75" t="n">
        <f aca="false">Dados!H17</f>
        <v>2</v>
      </c>
      <c r="L17" s="75" t="n">
        <f aca="false">Dados!I17</f>
        <v>12</v>
      </c>
      <c r="M17" s="75" t="n">
        <f aca="false">Dados!J17</f>
        <v>10</v>
      </c>
    </row>
    <row r="18" customFormat="false" ht="15" hidden="false" customHeight="false" outlineLevel="0" collapsed="false">
      <c r="A18" s="49" t="str">
        <f aca="false">Dados!A18</f>
        <v>PE</v>
      </c>
      <c r="B18" s="49" t="str">
        <f aca="false">Dados!B18</f>
        <v>Pernambuco</v>
      </c>
      <c r="C18" s="49" t="str">
        <f aca="false">Dados!C18</f>
        <v>Nordeste</v>
      </c>
      <c r="D18" s="55" t="n">
        <f aca="false">'1 Regra atual'!P18</f>
        <v>0.0675390809558929</v>
      </c>
      <c r="E18" s="55" t="n">
        <f aca="false">'1 Regra atual'!N18</f>
        <v>0.0648892110089763</v>
      </c>
      <c r="F18" s="55" t="n">
        <f aca="false">'3 Fundo'!O18</f>
        <v>0.0643753846880968</v>
      </c>
      <c r="G18" s="62" t="n">
        <f aca="false">F18/D18-1</f>
        <v>-0.0468424536286207</v>
      </c>
      <c r="H18" s="62" t="n">
        <f aca="false">F18/E18-1</f>
        <v>-0.00791851700598412</v>
      </c>
      <c r="I18" s="66" t="str">
        <f aca="false">'3 Fundo'!Q18</f>
        <v>Perde</v>
      </c>
      <c r="J18" s="75" t="n">
        <f aca="false">Dados!G18</f>
        <v>3</v>
      </c>
      <c r="K18" s="75" t="n">
        <f aca="false">Dados!H18</f>
        <v>0</v>
      </c>
      <c r="L18" s="75" t="n">
        <f aca="false">Dados!I18</f>
        <v>25</v>
      </c>
      <c r="M18" s="75" t="n">
        <f aca="false">Dados!J18</f>
        <v>15</v>
      </c>
    </row>
    <row r="19" customFormat="false" ht="15" hidden="false" customHeight="false" outlineLevel="0" collapsed="false">
      <c r="A19" s="49" t="str">
        <f aca="false">Dados!A19</f>
        <v>PI</v>
      </c>
      <c r="B19" s="49" t="str">
        <f aca="false">Dados!B19</f>
        <v>Piauí</v>
      </c>
      <c r="C19" s="49" t="str">
        <f aca="false">Dados!C19</f>
        <v>Nordeste</v>
      </c>
      <c r="D19" s="55" t="n">
        <f aca="false">'1 Regra atual'!P19</f>
        <v>0.0431143832610412</v>
      </c>
      <c r="E19" s="55" t="n">
        <f aca="false">'1 Regra atual'!N19</f>
        <v>0.0429339416953645</v>
      </c>
      <c r="F19" s="55" t="n">
        <f aca="false">'3 Fundo'!O19</f>
        <v>0.0410947997624093</v>
      </c>
      <c r="G19" s="62" t="n">
        <f aca="false">F19/D19-1</f>
        <v>-0.0468424536286208</v>
      </c>
      <c r="H19" s="62" t="n">
        <f aca="false">F19/E19-1</f>
        <v>-0.0428365498328756</v>
      </c>
      <c r="I19" s="66" t="str">
        <f aca="false">'3 Fundo'!Q19</f>
        <v>Perde</v>
      </c>
      <c r="J19" s="75" t="n">
        <f aca="false">Dados!G19</f>
        <v>3</v>
      </c>
      <c r="K19" s="75" t="n">
        <f aca="false">Dados!H19</f>
        <v>3</v>
      </c>
      <c r="L19" s="75" t="n">
        <f aca="false">Dados!I19</f>
        <v>10</v>
      </c>
      <c r="M19" s="75" t="n">
        <f aca="false">Dados!J19</f>
        <v>6</v>
      </c>
    </row>
    <row r="20" customFormat="false" ht="15" hidden="false" customHeight="false" outlineLevel="0" collapsed="false">
      <c r="A20" s="49" t="str">
        <f aca="false">Dados!A20</f>
        <v>RN</v>
      </c>
      <c r="B20" s="49" t="str">
        <f aca="false">Dados!B20</f>
        <v>Rio Grande do Norte</v>
      </c>
      <c r="C20" s="49" t="str">
        <f aca="false">Dados!C20</f>
        <v>Nordeste</v>
      </c>
      <c r="D20" s="55" t="n">
        <f aca="false">'1 Regra atual'!P20</f>
        <v>0.0394137126252711</v>
      </c>
      <c r="E20" s="55" t="n">
        <f aca="false">'1 Regra atual'!N20</f>
        <v>0.0351293306867336</v>
      </c>
      <c r="F20" s="55" t="n">
        <f aca="false">'3 Fundo'!O20</f>
        <v>0.0375674776192901</v>
      </c>
      <c r="G20" s="62" t="n">
        <f aca="false">F20/D20-1</f>
        <v>-0.0468424536286208</v>
      </c>
      <c r="H20" s="62" t="n">
        <f aca="false">F20/E20-1</f>
        <v>0.0694048786268859</v>
      </c>
      <c r="I20" s="66" t="str">
        <f aca="false">'3 Fundo'!Q20</f>
        <v>Perde</v>
      </c>
      <c r="J20" s="75" t="n">
        <f aca="false">Dados!G20</f>
        <v>3</v>
      </c>
      <c r="K20" s="75" t="n">
        <f aca="false">Dados!H20</f>
        <v>2</v>
      </c>
      <c r="L20" s="75" t="n">
        <f aca="false">Dados!I20</f>
        <v>8</v>
      </c>
      <c r="M20" s="75" t="n">
        <f aca="false">Dados!J20</f>
        <v>5</v>
      </c>
    </row>
    <row r="21" customFormat="false" ht="15" hidden="false" customHeight="false" outlineLevel="0" collapsed="false">
      <c r="A21" s="49" t="str">
        <f aca="false">Dados!A21</f>
        <v>SE</v>
      </c>
      <c r="B21" s="49" t="str">
        <f aca="false">Dados!B21</f>
        <v>Sergipe</v>
      </c>
      <c r="C21" s="49" t="str">
        <f aca="false">Dados!C21</f>
        <v>Nordeste</v>
      </c>
      <c r="D21" s="55" t="n">
        <f aca="false">'1 Regra atual'!P21</f>
        <v>0.0397639899275868</v>
      </c>
      <c r="E21" s="55" t="n">
        <f aca="false">'1 Regra atual'!N21</f>
        <v>0.0365234524250401</v>
      </c>
      <c r="F21" s="55" t="n">
        <f aca="false">'3 Fundo'!O21</f>
        <v>0.0398961548140156</v>
      </c>
      <c r="G21" s="62" t="n">
        <f aca="false">F21/D21-1</f>
        <v>0.00332373302250444</v>
      </c>
      <c r="H21" s="62" t="n">
        <f aca="false">F21/E21-1</f>
        <v>0.0923434715241545</v>
      </c>
      <c r="I21" s="66" t="str">
        <f aca="false">'3 Fundo'!Q21</f>
        <v>Ganha</v>
      </c>
      <c r="J21" s="75" t="n">
        <f aca="false">Dados!G21</f>
        <v>3</v>
      </c>
      <c r="K21" s="75" t="n">
        <f aca="false">Dados!H21</f>
        <v>2</v>
      </c>
      <c r="L21" s="75" t="n">
        <f aca="false">Dados!I21</f>
        <v>8</v>
      </c>
      <c r="M21" s="75" t="n">
        <f aca="false">Dados!J21</f>
        <v>6</v>
      </c>
    </row>
    <row r="22" customFormat="false" ht="15" hidden="false" customHeight="false" outlineLevel="0" collapsed="false">
      <c r="A22" s="49" t="str">
        <f aca="false">Dados!A22</f>
        <v>DF</v>
      </c>
      <c r="B22" s="49" t="str">
        <f aca="false">Dados!B22</f>
        <v>Distrito Federal</v>
      </c>
      <c r="C22" s="49" t="str">
        <f aca="false">Dados!C22</f>
        <v>Centro-Oeste</v>
      </c>
      <c r="D22" s="55" t="n">
        <f aca="false">'1 Regra atual'!P22</f>
        <v>0.00683979017453015</v>
      </c>
      <c r="E22" s="55" t="n">
        <f aca="false">'1 Regra atual'!N22</f>
        <v>0.00672710591658745</v>
      </c>
      <c r="F22" s="55" t="n">
        <f aca="false">'3 Fundo'!O22</f>
        <v>0.00754877619210027</v>
      </c>
      <c r="G22" s="62" t="n">
        <f aca="false">F22/D22-1</f>
        <v>0.103656106324755</v>
      </c>
      <c r="H22" s="62" t="n">
        <f aca="false">F22/E22-1</f>
        <v>0.122143204774995</v>
      </c>
      <c r="I22" s="66" t="str">
        <f aca="false">'3 Fundo'!Q22</f>
        <v>Ganha</v>
      </c>
      <c r="J22" s="75" t="n">
        <f aca="false">Dados!G22</f>
        <v>3</v>
      </c>
      <c r="K22" s="75" t="n">
        <f aca="false">Dados!H22</f>
        <v>3</v>
      </c>
      <c r="L22" s="75" t="n">
        <f aca="false">Dados!I22</f>
        <v>8</v>
      </c>
      <c r="M22" s="75" t="n">
        <f aca="false">Dados!J22</f>
        <v>5</v>
      </c>
    </row>
    <row r="23" customFormat="false" ht="15" hidden="false" customHeight="false" outlineLevel="0" collapsed="false">
      <c r="A23" s="49" t="str">
        <f aca="false">Dados!A23</f>
        <v>GO</v>
      </c>
      <c r="B23" s="49" t="str">
        <f aca="false">Dados!B23</f>
        <v>Goiás</v>
      </c>
      <c r="C23" s="49" t="str">
        <f aca="false">Dados!C23</f>
        <v>Centro-Oeste</v>
      </c>
      <c r="D23" s="55" t="n">
        <f aca="false">'1 Regra atual'!P23</f>
        <v>0.0276434848456156</v>
      </c>
      <c r="E23" s="55" t="n">
        <f aca="false">'1 Regra atual'!N23</f>
        <v>0.026217013060488</v>
      </c>
      <c r="F23" s="55" t="n">
        <f aca="false">'3 Fundo'!O23</f>
        <v>0.0305089008499595</v>
      </c>
      <c r="G23" s="62" t="n">
        <f aca="false">F23/D23-1</f>
        <v>0.103656106324755</v>
      </c>
      <c r="H23" s="62" t="n">
        <f aca="false">F23/E23-1</f>
        <v>0.16370620785706</v>
      </c>
      <c r="I23" s="66" t="str">
        <f aca="false">'3 Fundo'!Q23</f>
        <v>Ganha</v>
      </c>
      <c r="J23" s="75" t="n">
        <f aca="false">Dados!G23</f>
        <v>3</v>
      </c>
      <c r="K23" s="75" t="n">
        <f aca="false">Dados!H23</f>
        <v>3</v>
      </c>
      <c r="L23" s="75" t="n">
        <f aca="false">Dados!I23</f>
        <v>17</v>
      </c>
      <c r="M23" s="75" t="n">
        <f aca="false">Dados!J23</f>
        <v>15</v>
      </c>
    </row>
    <row r="24" customFormat="false" ht="15" hidden="false" customHeight="false" outlineLevel="0" collapsed="false">
      <c r="A24" s="49" t="str">
        <f aca="false">Dados!A24</f>
        <v>MT</v>
      </c>
      <c r="B24" s="49" t="str">
        <f aca="false">Dados!B24</f>
        <v>Mato Grosso</v>
      </c>
      <c r="C24" s="49" t="str">
        <f aca="false">Dados!C24</f>
        <v>Centro-Oeste</v>
      </c>
      <c r="D24" s="55" t="n">
        <f aca="false">'1 Regra atual'!P24</f>
        <v>0.0222452243128701</v>
      </c>
      <c r="E24" s="55" t="n">
        <f aca="false">'1 Regra atual'!N24</f>
        <v>0.0207349581469499</v>
      </c>
      <c r="F24" s="55" t="n">
        <f aca="false">'3 Fundo'!O24</f>
        <v>0.0217932585155217</v>
      </c>
      <c r="G24" s="62" t="n">
        <f aca="false">F24/D24-1</f>
        <v>-0.0203174304287358</v>
      </c>
      <c r="H24" s="62" t="n">
        <f aca="false">F24/E24-1</f>
        <v>0.0510394263191449</v>
      </c>
      <c r="I24" s="66" t="str">
        <f aca="false">'3 Fundo'!Q24</f>
        <v>Perde</v>
      </c>
      <c r="J24" s="75" t="n">
        <f aca="false">Dados!G24</f>
        <v>3</v>
      </c>
      <c r="K24" s="75" t="n">
        <f aca="false">Dados!H24</f>
        <v>3</v>
      </c>
      <c r="L24" s="75" t="n">
        <f aca="false">Dados!I24</f>
        <v>8</v>
      </c>
      <c r="M24" s="75" t="n">
        <f aca="false">Dados!J24</f>
        <v>7</v>
      </c>
    </row>
    <row r="25" customFormat="false" ht="15" hidden="false" customHeight="false" outlineLevel="0" collapsed="false">
      <c r="A25" s="49" t="str">
        <f aca="false">Dados!A25</f>
        <v>MS</v>
      </c>
      <c r="B25" s="49" t="str">
        <f aca="false">Dados!B25</f>
        <v>Mato Grosso do Sul</v>
      </c>
      <c r="C25" s="49" t="str">
        <f aca="false">Dados!C25</f>
        <v>Centro-Oeste</v>
      </c>
      <c r="D25" s="55" t="n">
        <f aca="false">'1 Regra atual'!P25</f>
        <v>0.0142187755703434</v>
      </c>
      <c r="E25" s="55" t="n">
        <f aca="false">'1 Regra atual'!N25</f>
        <v>0.0158467797873022</v>
      </c>
      <c r="F25" s="55" t="n">
        <f aca="false">'3 Fundo'!O25</f>
        <v>0.0156926384826707</v>
      </c>
      <c r="G25" s="62" t="n">
        <f aca="false">F25/D25-1</f>
        <v>0.103656106324755</v>
      </c>
      <c r="H25" s="62" t="n">
        <f aca="false">F25/E25-1</f>
        <v>-0.0097269796577214</v>
      </c>
      <c r="I25" s="66" t="str">
        <f aca="false">'3 Fundo'!Q25</f>
        <v>Ganha</v>
      </c>
      <c r="J25" s="75" t="n">
        <f aca="false">Dados!G25</f>
        <v>3</v>
      </c>
      <c r="K25" s="75" t="n">
        <f aca="false">Dados!H25</f>
        <v>3</v>
      </c>
      <c r="L25" s="75" t="n">
        <f aca="false">Dados!I25</f>
        <v>8</v>
      </c>
      <c r="M25" s="75" t="n">
        <f aca="false">Dados!J25</f>
        <v>7</v>
      </c>
    </row>
    <row r="26" customFormat="false" ht="15" hidden="false" customHeight="false" outlineLevel="0" collapsed="false">
      <c r="A26" s="49" t="str">
        <f aca="false">Dados!A26</f>
        <v>ES</v>
      </c>
      <c r="B26" s="49" t="str">
        <f aca="false">Dados!B26</f>
        <v>Espírito Santo</v>
      </c>
      <c r="C26" s="49" t="str">
        <f aca="false">Dados!C26</f>
        <v>Sudeste</v>
      </c>
      <c r="D26" s="55" t="n">
        <f aca="false">'1 Regra atual'!P26</f>
        <v>0.0180543020400209</v>
      </c>
      <c r="E26" s="55" t="n">
        <f aca="false">'1 Regra atual'!N26</f>
        <v>0.0235867361260076</v>
      </c>
      <c r="F26" s="55" t="n">
        <f aca="false">'3 Fundo'!O26</f>
        <v>0.0199257406919006</v>
      </c>
      <c r="G26" s="62" t="n">
        <f aca="false">F26/D26-1</f>
        <v>0.103656106324755</v>
      </c>
      <c r="H26" s="62" t="n">
        <f aca="false">F26/E26-1</f>
        <v>-0.155214159964689</v>
      </c>
      <c r="I26" s="66" t="str">
        <f aca="false">'3 Fundo'!Q26</f>
        <v>Ganha</v>
      </c>
      <c r="J26" s="75" t="n">
        <f aca="false">Dados!G26</f>
        <v>3</v>
      </c>
      <c r="K26" s="75" t="n">
        <f aca="false">Dados!H26</f>
        <v>2</v>
      </c>
      <c r="L26" s="75" t="n">
        <f aca="false">Dados!I26</f>
        <v>10</v>
      </c>
      <c r="M26" s="75" t="n">
        <f aca="false">Dados!J26</f>
        <v>7</v>
      </c>
    </row>
    <row r="27" customFormat="false" ht="15" hidden="false" customHeight="false" outlineLevel="0" collapsed="false">
      <c r="A27" s="49" t="str">
        <f aca="false">Dados!A27</f>
        <v>MG</v>
      </c>
      <c r="B27" s="49" t="str">
        <f aca="false">Dados!B27</f>
        <v>Minas Gerais</v>
      </c>
      <c r="C27" s="49" t="str">
        <f aca="false">Dados!C27</f>
        <v>Sudeste</v>
      </c>
      <c r="D27" s="55" t="n">
        <f aca="false">'1 Regra atual'!P27</f>
        <v>0.0445222938586848</v>
      </c>
      <c r="E27" s="55" t="n">
        <f aca="false">'1 Regra atual'!N27</f>
        <v>0.0444811649105562</v>
      </c>
      <c r="F27" s="55" t="n">
        <f aca="false">'3 Fundo'!O27</f>
        <v>0.0491373014847227</v>
      </c>
      <c r="G27" s="62" t="n">
        <f aca="false">F27/D27-1</f>
        <v>0.103656106324755</v>
      </c>
      <c r="H27" s="62" t="n">
        <f aca="false">F27/E27-1</f>
        <v>0.104676588023923</v>
      </c>
      <c r="I27" s="66" t="str">
        <f aca="false">'3 Fundo'!Q27</f>
        <v>Ganha</v>
      </c>
      <c r="J27" s="75" t="n">
        <f aca="false">Dados!G27</f>
        <v>3</v>
      </c>
      <c r="K27" s="75" t="n">
        <f aca="false">Dados!H27</f>
        <v>2</v>
      </c>
      <c r="L27" s="75" t="n">
        <f aca="false">Dados!I27</f>
        <v>53</v>
      </c>
      <c r="M27" s="75" t="n">
        <f aca="false">Dados!J27</f>
        <v>36</v>
      </c>
    </row>
    <row r="28" customFormat="false" ht="15" hidden="false" customHeight="false" outlineLevel="0" collapsed="false">
      <c r="A28" s="49" t="str">
        <f aca="false">Dados!A28</f>
        <v>RJ</v>
      </c>
      <c r="B28" s="49" t="str">
        <f aca="false">Dados!B28</f>
        <v>Rio de Janeiro</v>
      </c>
      <c r="C28" s="49" t="str">
        <f aca="false">Dados!C28</f>
        <v>Sudeste</v>
      </c>
      <c r="D28" s="55" t="n">
        <f aca="false">'1 Regra atual'!P28</f>
        <v>0.01819666712808</v>
      </c>
      <c r="E28" s="55" t="n">
        <f aca="false">'1 Regra atual'!N28</f>
        <v>0.0234852292046106</v>
      </c>
      <c r="F28" s="55" t="n">
        <f aca="false">'3 Fundo'!O28</f>
        <v>0.0200828627906644</v>
      </c>
      <c r="G28" s="62" t="n">
        <f aca="false">F28/D28-1</f>
        <v>0.103656106324755</v>
      </c>
      <c r="H28" s="62" t="n">
        <f aca="false">F28/E28-1</f>
        <v>-0.144872608408618</v>
      </c>
      <c r="I28" s="66" t="str">
        <f aca="false">'3 Fundo'!Q28</f>
        <v>Ganha</v>
      </c>
      <c r="J28" s="75" t="n">
        <f aca="false">Dados!G28</f>
        <v>3</v>
      </c>
      <c r="K28" s="75" t="n">
        <f aca="false">Dados!H28</f>
        <v>2</v>
      </c>
      <c r="L28" s="75" t="n">
        <f aca="false">Dados!I28</f>
        <v>46</v>
      </c>
      <c r="M28" s="75" t="n">
        <f aca="false">Dados!J28</f>
        <v>32</v>
      </c>
    </row>
    <row r="29" customFormat="false" ht="15" hidden="false" customHeight="false" outlineLevel="0" collapsed="false">
      <c r="A29" s="49" t="str">
        <f aca="false">Dados!A29</f>
        <v>SP</v>
      </c>
      <c r="B29" s="49" t="str">
        <f aca="false">Dados!B29</f>
        <v>São Paulo</v>
      </c>
      <c r="C29" s="49" t="str">
        <f aca="false">Dados!C29</f>
        <v>Sudeste</v>
      </c>
      <c r="D29" s="55" t="n">
        <f aca="false">'1 Regra atual'!P29</f>
        <v>0.0122105294958529</v>
      </c>
      <c r="E29" s="55" t="n">
        <f aca="false">'1 Regra atual'!N29</f>
        <v>0.0162145895300898</v>
      </c>
      <c r="F29" s="55" t="n">
        <f aca="false">'3 Fundo'!O29</f>
        <v>0.0134762254395566</v>
      </c>
      <c r="G29" s="62" t="n">
        <f aca="false">F29/D29-1</f>
        <v>0.103656106324755</v>
      </c>
      <c r="H29" s="62" t="n">
        <f aca="false">F29/E29-1</f>
        <v>-0.168882726599494</v>
      </c>
      <c r="I29" s="66" t="str">
        <f aca="false">'3 Fundo'!Q29</f>
        <v>Ganha</v>
      </c>
      <c r="J29" s="75" t="n">
        <f aca="false">Dados!G29</f>
        <v>3</v>
      </c>
      <c r="K29" s="75" t="n">
        <f aca="false">Dados!H29</f>
        <v>3</v>
      </c>
      <c r="L29" s="75" t="n">
        <f aca="false">Dados!I29</f>
        <v>70</v>
      </c>
      <c r="M29" s="75" t="n">
        <f aca="false">Dados!J29</f>
        <v>51</v>
      </c>
    </row>
    <row r="30" customFormat="false" ht="15" hidden="false" customHeight="false" outlineLevel="0" collapsed="false">
      <c r="A30" s="49" t="str">
        <f aca="false">Dados!A30</f>
        <v>PR</v>
      </c>
      <c r="B30" s="49" t="str">
        <f aca="false">Dados!B30</f>
        <v>Paraná</v>
      </c>
      <c r="C30" s="49" t="str">
        <f aca="false">Dados!C30</f>
        <v>Sul</v>
      </c>
      <c r="D30" s="55" t="n">
        <f aca="false">'1 Regra atual'!P30</f>
        <v>0.0260610084203117</v>
      </c>
      <c r="E30" s="55" t="n">
        <f aca="false">'1 Regra atual'!N30</f>
        <v>0.0210417509707947</v>
      </c>
      <c r="F30" s="55" t="n">
        <f aca="false">'3 Fundo'!O30</f>
        <v>0.0287623910800579</v>
      </c>
      <c r="G30" s="62" t="n">
        <f aca="false">F30/D30-1</f>
        <v>0.103656106324755</v>
      </c>
      <c r="H30" s="62" t="n">
        <f aca="false">F30/E30-1</f>
        <v>0.366920040066015</v>
      </c>
      <c r="I30" s="66" t="str">
        <f aca="false">'3 Fundo'!Q30</f>
        <v>Ganha</v>
      </c>
      <c r="J30" s="75" t="n">
        <f aca="false">Dados!G30</f>
        <v>3</v>
      </c>
      <c r="K30" s="75" t="n">
        <f aca="false">Dados!H30</f>
        <v>3</v>
      </c>
      <c r="L30" s="75" t="n">
        <f aca="false">Dados!I30</f>
        <v>30</v>
      </c>
      <c r="M30" s="75" t="n">
        <f aca="false">Dados!J30</f>
        <v>24</v>
      </c>
    </row>
    <row r="31" customFormat="false" ht="15" hidden="false" customHeight="false" outlineLevel="0" collapsed="false">
      <c r="A31" s="49" t="str">
        <f aca="false">Dados!A31</f>
        <v>RS</v>
      </c>
      <c r="B31" s="49" t="str">
        <f aca="false">Dados!B31</f>
        <v>Rio Grande do Sul</v>
      </c>
      <c r="C31" s="49" t="str">
        <f aca="false">Dados!C31</f>
        <v>Sul</v>
      </c>
      <c r="D31" s="55" t="n">
        <f aca="false">'1 Regra atual'!P31</f>
        <v>0.0213383232621058</v>
      </c>
      <c r="E31" s="55" t="n">
        <f aca="false">'1 Regra atual'!N31</f>
        <v>0.0173358078777224</v>
      </c>
      <c r="F31" s="55" t="n">
        <f aca="false">'3 Fundo'!O31</f>
        <v>0.0235501707669547</v>
      </c>
      <c r="G31" s="62" t="n">
        <f aca="false">F31/D31-1</f>
        <v>0.103656106324755</v>
      </c>
      <c r="H31" s="62" t="n">
        <f aca="false">F31/E31-1</f>
        <v>0.358469759994177</v>
      </c>
      <c r="I31" s="66" t="str">
        <f aca="false">'3 Fundo'!Q31</f>
        <v>Ganha</v>
      </c>
      <c r="J31" s="75" t="n">
        <f aca="false">Dados!G31</f>
        <v>3</v>
      </c>
      <c r="K31" s="75" t="n">
        <f aca="false">Dados!H31</f>
        <v>3</v>
      </c>
      <c r="L31" s="75" t="n">
        <f aca="false">Dados!I31</f>
        <v>31</v>
      </c>
      <c r="M31" s="75" t="n">
        <f aca="false">Dados!J31</f>
        <v>23</v>
      </c>
    </row>
    <row r="32" customFormat="false" ht="15" hidden="false" customHeight="false" outlineLevel="0" collapsed="false">
      <c r="A32" s="49" t="str">
        <f aca="false">Dados!A32</f>
        <v>SC</v>
      </c>
      <c r="B32" s="49" t="str">
        <f aca="false">Dados!B32</f>
        <v>Santa Catarina</v>
      </c>
      <c r="C32" s="49" t="str">
        <f aca="false">Dados!C32</f>
        <v>Sul</v>
      </c>
      <c r="D32" s="55" t="n">
        <f aca="false">'1 Regra atual'!P32</f>
        <v>0.0135309227974686</v>
      </c>
      <c r="E32" s="55" t="n">
        <f aca="false">'1 Regra atual'!N32</f>
        <v>0.0148585082863891</v>
      </c>
      <c r="F32" s="55" t="n">
        <f aca="false">'3 Fundo'!O32</f>
        <v>0.0149334855696351</v>
      </c>
      <c r="G32" s="62" t="n">
        <f aca="false">F32/D32-1</f>
        <v>0.103656106324755</v>
      </c>
      <c r="H32" s="62" t="n">
        <f aca="false">F32/E32-1</f>
        <v>0.0050460841560156</v>
      </c>
      <c r="I32" s="66" t="str">
        <f aca="false">'3 Fundo'!Q32</f>
        <v>Ganha</v>
      </c>
      <c r="J32" s="75" t="n">
        <f aca="false">Dados!G32</f>
        <v>3</v>
      </c>
      <c r="K32" s="75" t="n">
        <f aca="false">Dados!H32</f>
        <v>3</v>
      </c>
      <c r="L32" s="75" t="n">
        <f aca="false">Dados!I32</f>
        <v>16</v>
      </c>
      <c r="M32" s="75" t="n">
        <f aca="false">Dados!J32</f>
        <v>13</v>
      </c>
    </row>
    <row r="33" customFormat="false" ht="15" hidden="false" customHeight="false" outlineLevel="0" collapsed="false">
      <c r="A33" s="43"/>
      <c r="B33" s="43" t="s">
        <v>180</v>
      </c>
      <c r="C33" s="43"/>
      <c r="D33" s="45" t="n">
        <f aca="false">SUM(D6:D32)</f>
        <v>1</v>
      </c>
      <c r="E33" s="45" t="n">
        <f aca="false">SUM(E6:E32)</f>
        <v>1</v>
      </c>
      <c r="F33" s="45" t="n">
        <f aca="false">SUM(F6:F32)</f>
        <v>1</v>
      </c>
      <c r="G33" s="67"/>
      <c r="H33" s="67"/>
      <c r="I33" s="43"/>
      <c r="J33" s="76" t="n">
        <f aca="false">SUM(J6:J32)</f>
        <v>81</v>
      </c>
      <c r="K33" s="76" t="n">
        <f aca="false">SUM(K6:K32)</f>
        <v>65</v>
      </c>
      <c r="L33" s="76" t="n">
        <f aca="false">SUM(L6:L32)</f>
        <v>513</v>
      </c>
      <c r="M33" s="76" t="n">
        <f aca="false">SUM(M6:M32)</f>
        <v>382</v>
      </c>
    </row>
    <row r="35" customFormat="false" ht="15" hidden="false" customHeight="false" outlineLevel="0" collapsed="false">
      <c r="B35" s="25" t="s">
        <v>228</v>
      </c>
    </row>
    <row r="36" customFormat="false" ht="42" hidden="false" customHeight="true" outlineLevel="0" collapsed="false">
      <c r="A36" s="24"/>
      <c r="B36" s="24" t="s">
        <v>84</v>
      </c>
      <c r="C36" s="24"/>
      <c r="D36" s="24" t="s">
        <v>201</v>
      </c>
      <c r="E36" s="24" t="s">
        <v>229</v>
      </c>
      <c r="F36" s="24" t="s">
        <v>225</v>
      </c>
      <c r="G36" s="24" t="s">
        <v>226</v>
      </c>
      <c r="H36" s="24" t="s">
        <v>227</v>
      </c>
    </row>
    <row r="37" customFormat="false" ht="15" hidden="false" customHeight="false" outlineLevel="0" collapsed="false">
      <c r="B37" s="8" t="s">
        <v>94</v>
      </c>
      <c r="C37" s="8"/>
      <c r="D37" s="77" t="n">
        <f aca="false">SUMIF($C$6:$C$32,$B37,D$6:D$32)</f>
        <v>0.262692751845133</v>
      </c>
      <c r="E37" s="77" t="n">
        <f aca="false">SUMIF($C$6:$C$32,$B37,E$6:E$32)</f>
        <v>0.278951050731328</v>
      </c>
      <c r="F37" s="77" t="n">
        <f aca="false">SUMIF($C$6:$C$32,$B37,F$6:F$32)</f>
        <v>0.264151738684066</v>
      </c>
      <c r="G37" s="62" t="n">
        <f aca="false">F37/D37-1</f>
        <v>0.0055539668631317</v>
      </c>
      <c r="H37" s="62" t="n">
        <f aca="false">F37/E37-1</f>
        <v>-0.0530534371835575</v>
      </c>
    </row>
    <row r="38" customFormat="false" ht="15" hidden="false" customHeight="false" outlineLevel="0" collapsed="false">
      <c r="B38" s="8" t="s">
        <v>109</v>
      </c>
      <c r="C38" s="8"/>
      <c r="D38" s="77" t="n">
        <f aca="false">SUMIF($C$6:$C$32,$B38,D$6:D$32)</f>
        <v>0.512445926248983</v>
      </c>
      <c r="E38" s="77" t="n">
        <f aca="false">SUMIF($C$6:$C$32,$B38,E$6:E$32)</f>
        <v>0.490519305451174</v>
      </c>
      <c r="F38" s="77" t="n">
        <f aca="false">SUMIF($C$6:$C$32,$B38,F$6:F$32)</f>
        <v>0.49043650945219</v>
      </c>
      <c r="G38" s="62" t="n">
        <f aca="false">F38/D38-1</f>
        <v>-0.0429497351220997</v>
      </c>
      <c r="H38" s="62" t="n">
        <f aca="false">F38/E38-1</f>
        <v>-0.000168792538976614</v>
      </c>
    </row>
    <row r="39" customFormat="false" ht="15" hidden="false" customHeight="false" outlineLevel="0" collapsed="false">
      <c r="B39" s="8" t="s">
        <v>128</v>
      </c>
      <c r="C39" s="8"/>
      <c r="D39" s="77" t="n">
        <f aca="false">SUMIF($C$6:$C$32,$B39,D$6:D$32)</f>
        <v>0.0709472749033592</v>
      </c>
      <c r="E39" s="77" t="n">
        <f aca="false">SUMIF($C$6:$C$32,$B39,E$6:E$32)</f>
        <v>0.0695258569113275</v>
      </c>
      <c r="F39" s="77" t="n">
        <f aca="false">SUMIF($C$6:$C$32,$B39,F$6:F$32)</f>
        <v>0.0755435740402522</v>
      </c>
      <c r="G39" s="62" t="n">
        <f aca="false">F39/D39-1</f>
        <v>0.0647847171459908</v>
      </c>
      <c r="H39" s="62" t="n">
        <f aca="false">F39/E39-1</f>
        <v>0.0865536563842655</v>
      </c>
    </row>
    <row r="40" customFormat="false" ht="15" hidden="false" customHeight="false" outlineLevel="0" collapsed="false">
      <c r="B40" s="8" t="s">
        <v>137</v>
      </c>
      <c r="C40" s="8"/>
      <c r="D40" s="77" t="n">
        <f aca="false">SUMIF($C$6:$C$32,$B40,D$6:D$32)</f>
        <v>0.0929837925226387</v>
      </c>
      <c r="E40" s="77" t="n">
        <f aca="false">SUMIF($C$6:$C$32,$B40,E$6:E$32)</f>
        <v>0.107767719771264</v>
      </c>
      <c r="F40" s="77" t="n">
        <f aca="false">SUMIF($C$6:$C$32,$B40,F$6:F$32)</f>
        <v>0.102622130406844</v>
      </c>
      <c r="G40" s="62" t="n">
        <f aca="false">F40/D40-1</f>
        <v>0.103656106324755</v>
      </c>
      <c r="H40" s="62" t="n">
        <f aca="false">F40/E40-1</f>
        <v>-0.0477470375669211</v>
      </c>
    </row>
    <row r="41" customFormat="false" ht="15" hidden="false" customHeight="false" outlineLevel="0" collapsed="false">
      <c r="B41" s="8" t="s">
        <v>146</v>
      </c>
      <c r="C41" s="8"/>
      <c r="D41" s="77" t="n">
        <f aca="false">SUMIF($C$6:$C$32,$B41,D$6:D$32)</f>
        <v>0.0609302544798861</v>
      </c>
      <c r="E41" s="77" t="n">
        <f aca="false">SUMIF($C$6:$C$32,$B41,E$6:E$32)</f>
        <v>0.0532360671349062</v>
      </c>
      <c r="F41" s="77" t="n">
        <f aca="false">SUMIF($C$6:$C$32,$B41,F$6:F$32)</f>
        <v>0.0672460474166476</v>
      </c>
      <c r="G41" s="62" t="n">
        <f aca="false">F41/D41-1</f>
        <v>0.103656106324755</v>
      </c>
      <c r="H41" s="62" t="n">
        <f aca="false">F41/E41-1</f>
        <v>0.263167078932381</v>
      </c>
    </row>
    <row r="42" customFormat="false" ht="15" hidden="false" customHeight="false" outlineLevel="0" collapsed="false">
      <c r="B42" s="43" t="s">
        <v>230</v>
      </c>
      <c r="C42" s="43"/>
      <c r="D42" s="78" t="n">
        <f aca="false">SUM(D37:D39)</f>
        <v>0.846085952997475</v>
      </c>
      <c r="E42" s="78" t="n">
        <f aca="false">SUM(E37:E39)</f>
        <v>0.838996213093829</v>
      </c>
      <c r="F42" s="78" t="n">
        <f aca="false">SUM(F37:F39)</f>
        <v>0.830131822176508</v>
      </c>
      <c r="G42" s="67" t="n">
        <f aca="false">F42/D42-1</f>
        <v>-0.0188563948667927</v>
      </c>
      <c r="H42" s="67" t="n">
        <f aca="false">F42/E42-1</f>
        <v>-0.0105654719043766</v>
      </c>
    </row>
    <row r="45" customFormat="false" ht="15" hidden="false" customHeight="false" outlineLevel="0" collapsed="false">
      <c r="B45" s="25" t="s">
        <v>231</v>
      </c>
    </row>
    <row r="46" customFormat="false" ht="42" hidden="false" customHeight="true" outlineLevel="0" collapsed="false">
      <c r="A46" s="24"/>
      <c r="B46" s="24" t="s">
        <v>232</v>
      </c>
      <c r="C46" s="24"/>
      <c r="D46" s="24" t="s">
        <v>233</v>
      </c>
      <c r="E46" s="24" t="s">
        <v>234</v>
      </c>
      <c r="F46" s="24" t="s">
        <v>235</v>
      </c>
      <c r="G46" s="24" t="s">
        <v>24</v>
      </c>
      <c r="H46" s="24" t="s">
        <v>236</v>
      </c>
    </row>
    <row r="47" customFormat="false" ht="15" hidden="false" customHeight="false" outlineLevel="0" collapsed="false">
      <c r="B47" s="8" t="s">
        <v>26</v>
      </c>
      <c r="C47" s="66"/>
      <c r="D47" s="66" t="n">
        <f aca="false">COUNTIF($I$6:$I$32,"&lt;&gt;Perde")</f>
        <v>17</v>
      </c>
      <c r="E47" s="66" t="n">
        <f aca="false">SUMIF($I$6:$I$32,"&lt;&gt;Perde",J$6:J$32)</f>
        <v>51</v>
      </c>
      <c r="F47" s="14" t="n">
        <f aca="false">SUMIF($I$6:$I$32,"&lt;&gt;Perde",K$6:K$32)</f>
        <v>47</v>
      </c>
      <c r="G47" s="79" t="n">
        <f aca="false">Q_SEN</f>
        <v>41</v>
      </c>
      <c r="H47" s="19" t="str">
        <f aca="false">IF(F47&gt;=G47,"Sim","Não")</f>
        <v>Sim</v>
      </c>
    </row>
    <row r="48" customFormat="false" ht="15" hidden="false" customHeight="false" outlineLevel="0" collapsed="false">
      <c r="B48" s="8" t="s">
        <v>27</v>
      </c>
      <c r="C48" s="66"/>
      <c r="D48" s="66" t="n">
        <f aca="false">COUNTIF($I$6:$I$32,"&lt;&gt;Perde")</f>
        <v>17</v>
      </c>
      <c r="E48" s="66" t="n">
        <f aca="false">SUMIF($I$6:$I$32,"&lt;&gt;Perde",L$6:L$32)</f>
        <v>345</v>
      </c>
      <c r="F48" s="14" t="n">
        <f aca="false">SUMIF($I$6:$I$32,"&lt;&gt;Perde",M$6:M$32)</f>
        <v>263</v>
      </c>
      <c r="G48" s="79" t="n">
        <f aca="false">Q_CAM</f>
        <v>257</v>
      </c>
      <c r="H48" s="19" t="str">
        <f aca="false">IF(F48&gt;=G48,"Sim","Não")</f>
        <v>Sim</v>
      </c>
    </row>
    <row r="49" customFormat="false" ht="15" hidden="false" customHeight="false" outlineLevel="0" collapsed="false">
      <c r="B49" s="46" t="s">
        <v>237</v>
      </c>
    </row>
  </sheetData>
  <mergeCells count="1">
    <mergeCell ref="A2:N2"/>
  </mergeCells>
  <conditionalFormatting sqref="G6:H32">
    <cfRule type="cellIs" priority="2" operator="greaterThan" aboveAverage="0" equalAverage="0" bottom="0" percent="0" rank="0" text="" dxfId="0">
      <formula>0.00005</formula>
    </cfRule>
    <cfRule type="cellIs" priority="3" operator="lessThan" aboveAverage="0" equalAverage="0" bottom="0" percent="0" rank="0" text="" dxfId="1">
      <formula>-0.00005</formula>
    </cfRule>
  </conditionalFormatting>
  <conditionalFormatting sqref="I6:I32">
    <cfRule type="cellIs" priority="4" operator="equal" aboveAverage="0" equalAverage="0" bottom="0" percent="0" rank="0" text="" dxfId="2">
      <formula>"Ganha"</formula>
    </cfRule>
    <cfRule type="cellIs" priority="5" operator="equal" aboveAverage="0" equalAverage="0" bottom="0" percent="0" rank="0" text="" dxfId="3">
      <formula>"Perde"</formula>
    </cfRule>
    <cfRule type="cellIs" priority="6" operator="equal" aboveAverage="0" equalAverage="0" bottom="0" percent="0" rank="0" text="" dxfId="6">
      <formula>"Mantém"</formula>
    </cfRule>
  </conditionalFormatting>
  <conditionalFormatting sqref="G37:H42">
    <cfRule type="cellIs" priority="7" operator="greaterThan" aboveAverage="0" equalAverage="0" bottom="0" percent="0" rank="0" text="" dxfId="0">
      <formula>0.00005</formula>
    </cfRule>
    <cfRule type="cellIs" priority="8" operator="lessThan" aboveAverage="0" equalAverage="0" bottom="0" percent="0" rank="0" text="" dxfId="1">
      <formula>-0.00005</formula>
    </cfRule>
  </conditionalFormatting>
  <conditionalFormatting sqref="H47:H48">
    <cfRule type="cellIs" priority="9" operator="equal" aboveAverage="0" equalAverage="0" bottom="0" percent="0" rank="0" text="" dxfId="2">
      <formula>"Sim"</formula>
    </cfRule>
    <cfRule type="cellIs" priority="10" operator="equal" aboveAverage="0" equalAverage="0" bottom="0" percent="0" rank="0" text="" dxfId="3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2026-10-20T14:22:03Z</dcterms:created>
  <dc:creator>openpyxl</dc:creator>
  <dc:description/>
  <dc:language>en-US</dc:language>
  <cp:lastModifiedBy/>
  <dcterms:modified xsi:type="dcterms:W3CDTF">2026-10-20T11:22:06Z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